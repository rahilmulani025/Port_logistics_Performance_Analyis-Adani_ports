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hil Mulani\Downloads\"/>
    </mc:Choice>
  </mc:AlternateContent>
  <xr:revisionPtr revIDLastSave="0" documentId="13_ncr:1_{29C3691B-8376-48FF-95CB-E964B394EEBB}" xr6:coauthVersionLast="47" xr6:coauthVersionMax="47" xr10:uidLastSave="{00000000-0000-0000-0000-000000000000}"/>
  <bookViews>
    <workbookView xWindow="-96" yWindow="0" windowWidth="15708" windowHeight="13056" tabRatio="865" firstSheet="2" activeTab="6" xr2:uid="{00000000-000D-0000-FFFF-FFFF00000000}"/>
  </bookViews>
  <sheets>
    <sheet name="1_Raw_Data" sheetId="1" r:id="rId1"/>
    <sheet name="2_Descriptive_Stats" sheetId="2" r:id="rId2"/>
    <sheet name="3_ANOVA" sheetId="3" r:id="rId3"/>
    <sheet name="4_Chi_Square" sheetId="4" r:id="rId4"/>
    <sheet name="5_Normal_Distribution" sheetId="5" r:id="rId5"/>
    <sheet name="6_Forecasting" sheetId="6" r:id="rId6"/>
    <sheet name="7_BI_Dataset" sheetId="7" r:id="rId7"/>
    <sheet name="8.  Final Output Summary Sheet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4" l="1"/>
  <c r="E14" i="8"/>
  <c r="E13" i="8"/>
  <c r="E12" i="8"/>
  <c r="E11" i="8"/>
  <c r="E10" i="8"/>
  <c r="B12" i="8"/>
  <c r="E6" i="8"/>
  <c r="E5" i="8"/>
  <c r="E4" i="8"/>
  <c r="B4" i="8"/>
  <c r="B5" i="2"/>
  <c r="B11" i="5"/>
  <c r="B5" i="8"/>
  <c r="B6" i="5"/>
  <c r="B30" i="4"/>
  <c r="B41" i="3"/>
  <c r="B46" i="7" l="1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C30" i="7"/>
  <c r="C29" i="7"/>
  <c r="C28" i="7"/>
  <c r="C24" i="6"/>
  <c r="C23" i="6"/>
  <c r="C22" i="6"/>
  <c r="C21" i="6"/>
  <c r="C20" i="6"/>
  <c r="C19" i="6"/>
  <c r="C18" i="6"/>
  <c r="C17" i="6"/>
  <c r="C16" i="6"/>
  <c r="C15" i="6"/>
  <c r="C14" i="6"/>
  <c r="C13" i="6"/>
  <c r="D9" i="6"/>
  <c r="F9" i="6" s="1"/>
  <c r="D8" i="6"/>
  <c r="F8" i="6" s="1"/>
  <c r="D7" i="6"/>
  <c r="F7" i="6" s="1"/>
  <c r="D6" i="6"/>
  <c r="F6" i="6" s="1"/>
  <c r="D5" i="6"/>
  <c r="F5" i="6" s="1"/>
  <c r="B28" i="5"/>
  <c r="B5" i="5"/>
  <c r="C27" i="5" s="1"/>
  <c r="B27" i="4"/>
  <c r="C10" i="4"/>
  <c r="B10" i="4"/>
  <c r="B22" i="4" s="1"/>
  <c r="A10" i="4"/>
  <c r="C9" i="4"/>
  <c r="B21" i="4" s="1"/>
  <c r="B9" i="4"/>
  <c r="D9" i="4" s="1"/>
  <c r="A9" i="4"/>
  <c r="C19" i="3"/>
  <c r="C18" i="3"/>
  <c r="B13" i="3"/>
  <c r="B12" i="3"/>
  <c r="B11" i="3"/>
  <c r="B10" i="3"/>
  <c r="B32" i="2"/>
  <c r="B31" i="2"/>
  <c r="B29" i="2"/>
  <c r="B21" i="2"/>
  <c r="B20" i="2"/>
  <c r="B19" i="2"/>
  <c r="B18" i="2"/>
  <c r="B17" i="2"/>
  <c r="B12" i="2"/>
  <c r="B11" i="2"/>
  <c r="B10" i="2"/>
  <c r="B9" i="2"/>
  <c r="B8" i="2"/>
  <c r="B7" i="2"/>
  <c r="B6" i="2"/>
  <c r="C59" i="1"/>
  <c r="B59" i="1"/>
  <c r="B53" i="1"/>
  <c r="C52" i="1"/>
  <c r="C51" i="1"/>
  <c r="C50" i="1"/>
  <c r="C53" i="1" s="1"/>
  <c r="D46" i="1"/>
  <c r="F46" i="1" s="1"/>
  <c r="C46" i="1"/>
  <c r="E46" i="1" s="1"/>
  <c r="B46" i="1"/>
  <c r="F45" i="1"/>
  <c r="E45" i="1"/>
  <c r="F44" i="1"/>
  <c r="E44" i="1"/>
  <c r="F43" i="1"/>
  <c r="E43" i="1"/>
  <c r="F42" i="1"/>
  <c r="B23" i="2" s="1"/>
  <c r="E42" i="1"/>
  <c r="B22" i="2" s="1"/>
  <c r="B38" i="1"/>
  <c r="B28" i="2" s="1"/>
  <c r="C26" i="1"/>
  <c r="C27" i="1" s="1"/>
  <c r="B22" i="1"/>
  <c r="C21" i="1"/>
  <c r="F20" i="1"/>
  <c r="E20" i="1"/>
  <c r="G20" i="1" s="1"/>
  <c r="C20" i="1"/>
  <c r="G19" i="1"/>
  <c r="F19" i="1"/>
  <c r="E19" i="1"/>
  <c r="C19" i="1"/>
  <c r="G18" i="1"/>
  <c r="F18" i="1"/>
  <c r="E18" i="1"/>
  <c r="C18" i="1"/>
  <c r="F17" i="1"/>
  <c r="E17" i="1"/>
  <c r="G17" i="1" s="1"/>
  <c r="C17" i="1"/>
  <c r="F16" i="1"/>
  <c r="E16" i="1"/>
  <c r="G16" i="1" s="1"/>
  <c r="C16" i="1"/>
  <c r="F15" i="1"/>
  <c r="E15" i="1"/>
  <c r="G15" i="1" s="1"/>
  <c r="C15" i="1"/>
  <c r="F14" i="1"/>
  <c r="E14" i="1"/>
  <c r="G14" i="1" s="1"/>
  <c r="C14" i="1"/>
  <c r="F13" i="1"/>
  <c r="F22" i="1" s="1"/>
  <c r="E13" i="1"/>
  <c r="E22" i="1" s="1"/>
  <c r="C13" i="1"/>
  <c r="C22" i="1" s="1"/>
  <c r="G12" i="1"/>
  <c r="F12" i="1"/>
  <c r="E12" i="1"/>
  <c r="C12" i="1"/>
  <c r="F11" i="1"/>
  <c r="E11" i="1"/>
  <c r="G11" i="1" s="1"/>
  <c r="C11" i="1"/>
  <c r="B33" i="2" s="1"/>
  <c r="C7" i="1"/>
  <c r="C6" i="1"/>
  <c r="C10" i="3" l="1"/>
  <c r="D10" i="3" s="1"/>
  <c r="C20" i="3"/>
  <c r="B12" i="5"/>
  <c r="C11" i="3"/>
  <c r="D11" i="3" s="1"/>
  <c r="C25" i="6"/>
  <c r="D10" i="4"/>
  <c r="B11" i="4"/>
  <c r="C11" i="4"/>
  <c r="B20" i="4"/>
  <c r="C36" i="7"/>
  <c r="C28" i="1"/>
  <c r="D11" i="4"/>
  <c r="C16" i="4" s="1"/>
  <c r="C23" i="4" s="1"/>
  <c r="B15" i="4"/>
  <c r="C12" i="3"/>
  <c r="D12" i="3" s="1"/>
  <c r="B29" i="5"/>
  <c r="C29" i="5"/>
  <c r="B13" i="5"/>
  <c r="C13" i="3"/>
  <c r="D13" i="3" s="1"/>
  <c r="B14" i="5"/>
  <c r="E5" i="6"/>
  <c r="B15" i="5"/>
  <c r="C28" i="5"/>
  <c r="B16" i="5"/>
  <c r="C26" i="6"/>
  <c r="G13" i="1"/>
  <c r="B14" i="3"/>
  <c r="B18" i="3" s="1"/>
  <c r="E6" i="6"/>
  <c r="C27" i="6"/>
  <c r="B22" i="5"/>
  <c r="C22" i="5"/>
  <c r="B23" i="5"/>
  <c r="E8" i="6"/>
  <c r="B30" i="2"/>
  <c r="C23" i="5"/>
  <c r="C35" i="7"/>
  <c r="B23" i="4"/>
  <c r="C24" i="5"/>
  <c r="E9" i="6"/>
  <c r="B25" i="5"/>
  <c r="C25" i="5"/>
  <c r="B26" i="5"/>
  <c r="B20" i="5"/>
  <c r="C20" i="5"/>
  <c r="B21" i="5"/>
  <c r="C21" i="5"/>
  <c r="E7" i="6"/>
  <c r="C26" i="5"/>
  <c r="B24" i="5"/>
  <c r="B27" i="5"/>
  <c r="C20" i="4" l="1"/>
  <c r="D20" i="4" s="1"/>
  <c r="C15" i="4"/>
  <c r="C21" i="4" s="1"/>
  <c r="D21" i="4" s="1"/>
  <c r="C37" i="7"/>
  <c r="C29" i="1"/>
  <c r="D18" i="3"/>
  <c r="B20" i="3"/>
  <c r="D23" i="4"/>
  <c r="B16" i="4"/>
  <c r="C22" i="4" l="1"/>
  <c r="D22" i="4" s="1"/>
  <c r="D16" i="4"/>
  <c r="D15" i="4"/>
  <c r="C30" i="1"/>
  <c r="C38" i="7"/>
  <c r="B26" i="4"/>
  <c r="C31" i="1" l="1"/>
  <c r="C39" i="7"/>
  <c r="C32" i="1" l="1"/>
  <c r="C40" i="7"/>
  <c r="C41" i="7" l="1"/>
  <c r="C33" i="1"/>
  <c r="C34" i="1" l="1"/>
  <c r="C42" i="7"/>
  <c r="C35" i="1" l="1"/>
  <c r="C43" i="7"/>
  <c r="C44" i="7" l="1"/>
  <c r="C36" i="1"/>
  <c r="C45" i="7" l="1"/>
  <c r="C37" i="1"/>
  <c r="C46" i="7" s="1"/>
</calcChain>
</file>

<file path=xl/sharedStrings.xml><?xml version="1.0" encoding="utf-8"?>
<sst xmlns="http://schemas.openxmlformats.org/spreadsheetml/2006/main" count="481" uniqueCount="304">
  <si>
    <t>ADANI PORTS &amp; RENEWABLE ENERGY — MASTER RAW DATA</t>
  </si>
  <si>
    <t>Fiscal Year</t>
  </si>
  <si>
    <t>Cargo (MMT)</t>
  </si>
  <si>
    <t>YoY Growth</t>
  </si>
  <si>
    <t>Source</t>
  </si>
  <si>
    <t>FY2023</t>
  </si>
  <si>
    <t>N/A</t>
  </si>
  <si>
    <t>Adani Ports Annual Report FY24 p.36</t>
  </si>
  <si>
    <t>FY2024</t>
  </si>
  <si>
    <t>Adani Ports Annual Report FY24 — Confirmed 420 MMT</t>
  </si>
  <si>
    <t>FY2025</t>
  </si>
  <si>
    <t>APSEZ FY25 Full Year Results</t>
  </si>
  <si>
    <t>Revenue (₹B)</t>
  </si>
  <si>
    <t>Energy (MW)</t>
  </si>
  <si>
    <t>Rev/MMT</t>
  </si>
  <si>
    <t>Port</t>
  </si>
  <si>
    <t>Cargo FY24 (MMT)</t>
  </si>
  <si>
    <t>% of Total (420 MMT)</t>
  </si>
  <si>
    <t>Region</t>
  </si>
  <si>
    <t>Mundra</t>
  </si>
  <si>
    <t>West</t>
  </si>
  <si>
    <t>Krishnapatnam</t>
  </si>
  <si>
    <t>East</t>
  </si>
  <si>
    <t>Dhamra</t>
  </si>
  <si>
    <t>Gangavaram</t>
  </si>
  <si>
    <t>Hazira</t>
  </si>
  <si>
    <t>Karaikal</t>
  </si>
  <si>
    <t>South</t>
  </si>
  <si>
    <t>Ennore</t>
  </si>
  <si>
    <t>Kattupalli</t>
  </si>
  <si>
    <t>Tuna Terminal</t>
  </si>
  <si>
    <t>Mormugao</t>
  </si>
  <si>
    <t>Other/International</t>
  </si>
  <si>
    <t>—</t>
  </si>
  <si>
    <t>TOTAL</t>
  </si>
  <si>
    <t>All Regions</t>
  </si>
  <si>
    <t>Month</t>
  </si>
  <si>
    <t>Cumulative (MMT)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</si>
  <si>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</si>
  <si>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</si>
  <si>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</si>
  <si>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</si>
  <si>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</si>
  <si>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</si>
  <si>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</si>
  <si>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</si>
  <si>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</si>
  <si>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</si>
  <si>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</si>
  <si>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</si>
  <si>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Target = 475 MMT | Separate from FY25 450 MMT annual report figure</t>
  </si>
  <si>
    <t>Revenue (₹ Billion)</t>
  </si>
  <si>
    <t>Revenue / MMT (₹B)</t>
  </si>
  <si>
    <t>Energy / MMT (MW)</t>
  </si>
  <si>
    <t>North</t>
  </si>
  <si>
    <t>Energy Type</t>
  </si>
  <si>
    <t>Capacity (MW)</t>
  </si>
  <si>
    <t>% Share</t>
  </si>
  <si>
    <t>Solar</t>
  </si>
  <si>
    <t>Adani Green Energy press release — 15,538 MW total</t>
  </si>
  <si>
    <t>Wind</t>
  </si>
  <si>
    <t>Adani Green Energy press release</t>
  </si>
  <si>
    <t>Hybrid</t>
  </si>
  <si>
    <t>15,538 MW (~15.5 GW)</t>
  </si>
  <si>
    <t>Customer Type</t>
  </si>
  <si>
    <t>Bulk Cargo</t>
  </si>
  <si>
    <t>Container Cargo</t>
  </si>
  <si>
    <t>Industrial</t>
  </si>
  <si>
    <t>Retail</t>
  </si>
  <si>
    <t>COLUMN TOTAL</t>
  </si>
  <si>
    <t>DESCRIPTIVE STATISTICS — CARGO, REVENUE &amp; ENERGY</t>
  </si>
  <si>
    <t>MONTHLY CARGO THROUGHPUT — DESCRIPTIVE STATS (FY25)</t>
  </si>
  <si>
    <t>Statistic</t>
  </si>
  <si>
    <t>Value (MMT)</t>
  </si>
  <si>
    <t>Mean (Average)</t>
  </si>
  <si>
    <t>Median</t>
  </si>
  <si>
    <t>Std Deviation (σ)</t>
  </si>
  <si>
    <t>Variance</t>
  </si>
  <si>
    <t>Minimum</t>
  </si>
  <si>
    <t>Maximum</t>
  </si>
  <si>
    <t>Range (Max-Min)</t>
  </si>
  <si>
    <t>Count (n)</t>
  </si>
  <si>
    <t>REGIONAL CARGO — DESCRIPTIVE STATS</t>
  </si>
  <si>
    <t>Mean Cargo / Region</t>
  </si>
  <si>
    <t>Mean Revenue (₹B)</t>
  </si>
  <si>
    <t>Mean Revenue / MMT</t>
  </si>
  <si>
    <t>Mean Energy / MMT (MW)</t>
  </si>
  <si>
    <t>KPI SUMMARY METRICS (FOR POWER BI)</t>
  </si>
  <si>
    <t>KPI</t>
  </si>
  <si>
    <t>Value</t>
  </si>
  <si>
    <t>Unit</t>
  </si>
  <si>
    <t>Notes</t>
  </si>
  <si>
    <t>Total Cargo Throughput</t>
  </si>
  <si>
    <t>MMT</t>
  </si>
  <si>
    <t>Sum of 12 monthly values</t>
  </si>
  <si>
    <t>Total Renewable Capacity</t>
  </si>
  <si>
    <t>MW</t>
  </si>
  <si>
    <t>Solar+Wind+Hybrid = 15,538 MW</t>
  </si>
  <si>
    <t>Total Revenue</t>
  </si>
  <si>
    <t>₹ Billion</t>
  </si>
  <si>
    <t>Sum of 4 regions = ₹860B</t>
  </si>
  <si>
    <t>Peak Monthly Cargo</t>
  </si>
  <si>
    <t>March 2025</t>
  </si>
  <si>
    <t>Lowest Monthly Cargo</t>
  </si>
  <si>
    <t>April 2024</t>
  </si>
  <si>
    <t>Mundra Share of Total</t>
  </si>
  <si>
    <t>% of 420 MMT</t>
  </si>
  <si>
    <t>~42.9%</t>
  </si>
  <si>
    <t>ANOVA — SINGLE FACTOR: REGIONAL CARGO THROUGHPUT</t>
  </si>
  <si>
    <t>HYPOTHESIS</t>
  </si>
  <si>
    <t>H0 (Null):</t>
  </si>
  <si>
    <t>Regional differences do NOT significantly affect cargo throughput</t>
  </si>
  <si>
    <t>H1 (Alt):</t>
  </si>
  <si>
    <t>Regional differences DO significantly affect cargo throughput</t>
  </si>
  <si>
    <t>Decision Rule:</t>
  </si>
  <si>
    <t>Reject H0 if p-value &lt; 0.05 (95% confidence level)</t>
  </si>
  <si>
    <t>INPUT DATA — REGIONAL CARGO (MMT)</t>
  </si>
  <si>
    <t>(Group mean)</t>
  </si>
  <si>
    <t>Deviation from Grand Mean</t>
  </si>
  <si>
    <t>Grand Mean</t>
  </si>
  <si>
    <t>Source of Variation</t>
  </si>
  <si>
    <t>SS</t>
  </si>
  <si>
    <t>df</t>
  </si>
  <si>
    <t>MS</t>
  </si>
  <si>
    <t>F-statistic</t>
  </si>
  <si>
    <t>p-value (approx)</t>
  </si>
  <si>
    <t>Critical F (α=0.05)</t>
  </si>
  <si>
    <t>Between Groups (SSB)</t>
  </si>
  <si>
    <t>N/A*</t>
  </si>
  <si>
    <t>Within Groups (SSW)</t>
  </si>
  <si>
    <t>0 (n=1 per group)</t>
  </si>
  <si>
    <t>Undefined</t>
  </si>
  <si>
    <t>Total (SST)</t>
  </si>
  <si>
    <t>ANOVA-READY DATA — 3-YEAR REPEATED MEASURES (FY23, FY24, FY25 estimated)</t>
  </si>
  <si>
    <t>FY23 (MMT)</t>
  </si>
  <si>
    <t>FY24 (MMT)</t>
  </si>
  <si>
    <t>FY25 (MMT)</t>
  </si>
  <si>
    <t>Decision (auto):</t>
  </si>
  <si>
    <t>CHI-SQUARE TEST — CUSTOMER TYPE vs CARGO CATEGORY</t>
  </si>
  <si>
    <t>H0:</t>
  </si>
  <si>
    <t>Customer type does NOT influence cargo category (independent)</t>
  </si>
  <si>
    <t>H1:</t>
  </si>
  <si>
    <t>Customer type DOES influence cargo category (dependent)</t>
  </si>
  <si>
    <t>OBSERVED FREQUENCIES</t>
  </si>
  <si>
    <t>Row Total</t>
  </si>
  <si>
    <t>Col Total</t>
  </si>
  <si>
    <t>Bulk Cargo (E)</t>
  </si>
  <si>
    <t>Container Cargo (E)</t>
  </si>
  <si>
    <t>Cell</t>
  </si>
  <si>
    <t>Observed (O)</t>
  </si>
  <si>
    <t>Expected (E)</t>
  </si>
  <si>
    <t>(O-E)²/E</t>
  </si>
  <si>
    <t>Industrial × Bulk</t>
  </si>
  <si>
    <t>Industrial × Container</t>
  </si>
  <si>
    <t>Retail × Bulk</t>
  </si>
  <si>
    <t>Retail × Container</t>
  </si>
  <si>
    <t>CHI-SQUARE TEST RESULTS</t>
  </si>
  <si>
    <t>χ² Statistic</t>
  </si>
  <si>
    <t>Computed above</t>
  </si>
  <si>
    <t>Degrees of Freedom (df)</t>
  </si>
  <si>
    <t>(rows-1)*(cols-1)</t>
  </si>
  <si>
    <t>Critical Value (α=0.05)</t>
  </si>
  <si>
    <t>χ²(1, 0.05) = 3.841</t>
  </si>
  <si>
    <t>p-value</t>
  </si>
  <si>
    <t>RIGHT-TAIL probability</t>
  </si>
  <si>
    <t>Decision</t>
  </si>
  <si>
    <t>Compare χ² vs critical</t>
  </si>
  <si>
    <t>NORMAL DISTRIBUTION ANALYSIS — EXACT MONTHLY CARGO DATA (Updated per Manager Q4)</t>
  </si>
  <si>
    <t>DISTRIBUTION PARAMETERS</t>
  </si>
  <si>
    <t>Parameter</t>
  </si>
  <si>
    <t>Formula Used</t>
  </si>
  <si>
    <t>Mean (μ) — Monthly Cargo</t>
  </si>
  <si>
    <t>AVERAGE(monthly range) — cross-sheet link</t>
  </si>
  <si>
    <t>Std Dev (σ)</t>
  </si>
  <si>
    <t>STDEV(monthly range) — cross-sheet link</t>
  </si>
  <si>
    <t>Test Value (x)</t>
  </si>
  <si>
    <t>Given in brief: 43 MMT</t>
  </si>
  <si>
    <t>Z-SCORE &amp; PROBABILITY CALCULATIONS</t>
  </si>
  <si>
    <t>Calculation</t>
  </si>
  <si>
    <t>Result</t>
  </si>
  <si>
    <t>Interpretation</t>
  </si>
  <si>
    <t>Z-Score = (x - μ) / σ</t>
  </si>
  <si>
    <t>Number of std deviations above mean</t>
  </si>
  <si>
    <t>P(X ≤ 43) — Cumulative</t>
  </si>
  <si>
    <t>Probability cargo is AT OR BELOW 43 MMT</t>
  </si>
  <si>
    <t>P(X &gt; 43) — Exceedance</t>
  </si>
  <si>
    <t>Probability cargo EXCEEDS 43 MMT</t>
  </si>
  <si>
    <t>P(X = 43) — Point probability</t>
  </si>
  <si>
    <t>Probability density at exactly 43 MMT</t>
  </si>
  <si>
    <t>P(μ - σ &lt; X &lt; μ + σ)</t>
  </si>
  <si>
    <t>~68% of values in 1 std dev range</t>
  </si>
  <si>
    <t>95th Percentile</t>
  </si>
  <si>
    <t>MMT value exceeded only 5% of months</t>
  </si>
  <si>
    <t>DISTRIBUTION LOOKUP TABLE (Monthly Cargo Scenarios)</t>
  </si>
  <si>
    <t>Cargo Value (MMT)</t>
  </si>
  <si>
    <t>P(X ≤ value)</t>
  </si>
  <si>
    <t>P(X &gt; value)</t>
  </si>
  <si>
    <t>FORECASTING — ANNUAL &amp; MONTHLY CARGO THROUGHPUT</t>
  </si>
  <si>
    <t>ANNUAL FORECAST — LINEAR TREND (FY23–FY25 Base)</t>
  </si>
  <si>
    <t>Year Number (x)</t>
  </si>
  <si>
    <t>Forecast</t>
  </si>
  <si>
    <t>Lower Bound</t>
  </si>
  <si>
    <t>Upper Bound</t>
  </si>
  <si>
    <t>FY2026</t>
  </si>
  <si>
    <t>FY2027</t>
  </si>
  <si>
    <t>Period (x)</t>
  </si>
  <si>
    <t>Actual/Forecast (MMT)</t>
  </si>
  <si>
    <t>Method</t>
  </si>
  <si>
    <t>Apr-2024</t>
  </si>
  <si>
    <t>Actual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</si>
  <si>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</si>
  <si>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</si>
  <si>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</si>
  <si>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</si>
  <si>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</si>
  <si>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</si>
  <si>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</si>
  <si>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</si>
  <si>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</si>
  <si>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</si>
  <si>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</si>
  <si>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</si>
  <si>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FORECAST.LINEAR</t>
  </si>
  <si>
    <t>FY26 Forecast Month 1</t>
  </si>
  <si>
    <t>May-2025</t>
  </si>
  <si>
    <t>FY26 Forecast Month 2</t>
  </si>
  <si>
    <t>Jun-2025</t>
  </si>
  <si>
    <t>FY26 Forecast Month 3</t>
  </si>
  <si>
    <t xml:space="preserve">FINAL DATASET FOR POWER BI DASHBOARD </t>
  </si>
  <si>
    <t>.</t>
  </si>
  <si>
    <t>Year</t>
  </si>
  <si>
    <t>Cargo Type</t>
  </si>
  <si>
    <t>FY24</t>
  </si>
  <si>
    <t>Mixed</t>
  </si>
  <si>
    <t>Dry Bulk</t>
  </si>
  <si>
    <t>Iron Ore/Coal</t>
  </si>
  <si>
    <t>Containers/LNG</t>
  </si>
  <si>
    <t>Coal/General</t>
  </si>
  <si>
    <t>Containers</t>
  </si>
  <si>
    <t>Coal</t>
  </si>
  <si>
    <t>FY25</t>
  </si>
  <si>
    <t>ENERGY MIX TABLE (for Energy Capacity Mix chart in Power BI)</t>
  </si>
  <si>
    <t>MONTHLY TREND TABLE (for Monthly Cargo Trend chart in Power BI)</t>
  </si>
  <si>
    <t>TABLE 1 - ANNUAL CARGO THROUGHPUT (FY23–FY25)</t>
  </si>
  <si>
    <t>TABLE 2 - PORT-LEVEL CARGO VOLUMES (FY24)</t>
  </si>
  <si>
    <t>ANNUAL TOTAL (Statistical Dataset - 12 months)</t>
  </si>
  <si>
    <t>TABLE 5 - RENEWABLE ENERGY CAPACITY MIX</t>
  </si>
  <si>
    <t>TABLE 4 - REGIONAL OPERATIONAL DATASET</t>
  </si>
  <si>
    <t>TABLE 6 - CHI-SQUARE CONTINGENCY TABLE (OBSERVED)</t>
  </si>
  <si>
    <t xml:space="preserve">TABLE 3 - MONTHLY CARGO THROUGHPUT </t>
  </si>
  <si>
    <t>Column1</t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</si>
  <si>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</si>
  <si>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</si>
  <si>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</si>
  <si>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</si>
  <si>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</si>
  <si>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</si>
  <si>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</si>
  <si>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</si>
  <si>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Sum</t>
  </si>
  <si>
    <t>Count</t>
  </si>
  <si>
    <t>Anova: Single Factor</t>
  </si>
  <si>
    <t>SUMMARY</t>
  </si>
  <si>
    <t>Groups</t>
  </si>
  <si>
    <t>Average</t>
  </si>
  <si>
    <t>F</t>
  </si>
  <si>
    <t>P-value</t>
  </si>
  <si>
    <t>F crit</t>
  </si>
  <si>
    <t>Between Groups</t>
  </si>
  <si>
    <t>Within Groups</t>
  </si>
  <si>
    <t>Total</t>
  </si>
  <si>
    <t xml:space="preserve"> TOOLPAK ANOVA OUTPUT </t>
  </si>
  <si>
    <t>F-Statistic →</t>
  </si>
  <si>
    <t>p-value →</t>
  </si>
  <si>
    <t>ANOVA MANUAL CALCULATIONS (Single Factor, n=1 per group - see limitation note)</t>
  </si>
  <si>
    <t>EXPECTED FREQUENCIES - E = (Row Total × Col Total) / Grand Total</t>
  </si>
  <si>
    <t>CHI-SQUARE CALCULATIONS - (O-E)²/E</t>
  </si>
  <si>
    <t>MONTHLY 3-MONTH FORECAST (Apr–Jun FY26) - TREND-BASED</t>
  </si>
  <si>
    <t>NORMAL DISTRIBUTION:</t>
  </si>
  <si>
    <t>ANOVA:</t>
  </si>
  <si>
    <t>CHI-SQUARE:</t>
  </si>
  <si>
    <t>FORECASTING:</t>
  </si>
  <si>
    <t>DESCRIPTIVE STATS:</t>
  </si>
  <si>
    <t xml:space="preserve">Mean (μ) </t>
  </si>
  <si>
    <t>Z-score (43 MMT)</t>
  </si>
  <si>
    <t>P(X &gt; 43 MMT)</t>
  </si>
  <si>
    <t xml:space="preserve">F-statistic </t>
  </si>
  <si>
    <t xml:space="preserve"> P-value</t>
  </si>
  <si>
    <t xml:space="preserve">Decision </t>
  </si>
  <si>
    <t xml:space="preserve"> χ² statistic</t>
  </si>
  <si>
    <t>FY2026 forecast</t>
  </si>
  <si>
    <t>FY2027 forecast</t>
  </si>
  <si>
    <t>Jan forecast</t>
  </si>
  <si>
    <t>Feb forecast</t>
  </si>
  <si>
    <t>Mar forecast</t>
  </si>
  <si>
    <t>Monthly Mean</t>
  </si>
  <si>
    <t>Monthly Std Dev</t>
  </si>
  <si>
    <t xml:space="preserve">Min month </t>
  </si>
  <si>
    <t>Max month</t>
  </si>
  <si>
    <t>STATISTICAL OUTPUTS</t>
  </si>
  <si>
    <t>April ( 35.9 )</t>
  </si>
  <si>
    <t>August ( 42.2 )</t>
  </si>
  <si>
    <t>Approx 0</t>
  </si>
  <si>
    <t>North 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</si>
</sst>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0"/>
    <numFmt numFmtId="185" formatCode="0E+00"/>
  </numFmts>
  <fonts count="25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9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888888"/>
      <name val="Arial"/>
      <family val="2"/>
    </font>
    <font>
      <i/>
      <sz val="10"/>
      <color rgb="FF444444"/>
      <name val="Arial"/>
      <family val="2"/>
    </font>
    <font>
      <i/>
      <sz val="9"/>
      <color rgb="FF555555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sz val="10"/>
      <color rgb="FFCC0000"/>
      <name val="Arial"/>
      <family val="2"/>
    </font>
    <font>
      <b/>
      <sz val="10"/>
      <color rgb="FFCC0000"/>
      <name val="Arial"/>
      <family val="2"/>
    </font>
    <font>
      <b/>
      <sz val="11"/>
      <color rgb="FFFFFFFF"/>
      <name val="Arial"/>
      <family val="2"/>
    </font>
    <font>
      <b/>
      <sz val="9"/>
      <color rgb="FF1F7A1F"/>
      <name val="Arial"/>
      <family val="2"/>
    </font>
    <font>
      <b/>
      <sz val="10"/>
      <color rgb="FFCC6600"/>
      <name val="Arial"/>
      <family val="2"/>
    </font>
    <font>
      <sz val="10"/>
      <color rgb="FF888888"/>
      <name val="Arial"/>
      <family val="2"/>
    </font>
    <font>
      <i/>
      <sz val="10"/>
      <color rgb="FF999999"/>
      <name val="Arial"/>
      <family val="2"/>
    </font>
    <font>
      <b/>
      <sz val="10"/>
      <color rgb="FF1F7A1F"/>
      <name val="Arial"/>
      <family val="2"/>
    </font>
    <font>
      <i/>
      <sz val="11"/>
      <color theme="1"/>
      <name val="Calibri"/>
      <family val="2"/>
      <charset val="1"/>
    </font>
    <font>
      <b/>
      <sz val="11"/>
      <color theme="2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Arial Unicode MS"/>
    </font>
    <font>
      <b/>
      <sz val="10"/>
      <color rgb="FF008000"/>
      <name val="Arial"/>
      <family val="2"/>
    </font>
    <font>
      <b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4C8C"/>
      </patternFill>
    </fill>
    <fill>
      <patternFill patternType="solid">
        <fgColor rgb="FF2E4C8C"/>
        <bgColor rgb="FF1F3864"/>
      </patternFill>
    </fill>
    <fill>
      <patternFill patternType="solid">
        <fgColor rgb="FFFFFFFF"/>
        <bgColor rgb="FFF8F8F8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8F8F8"/>
      </patternFill>
    </fill>
    <fill>
      <patternFill patternType="solid">
        <fgColor rgb="FFF8F8F8"/>
        <bgColor rgb="FFFFFFFF"/>
      </patternFill>
    </fill>
    <fill>
      <patternFill patternType="solid">
        <fgColor rgb="FFE2EFDA"/>
        <bgColor rgb="FFD9E1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AAAAAA"/>
      </left>
      <right/>
      <top style="thin">
        <color rgb="FFAAAAAA"/>
      </top>
      <bottom style="thin">
        <color indexed="64"/>
      </bottom>
      <diagonal/>
    </border>
    <border>
      <left/>
      <right/>
      <top style="thin">
        <color rgb="FFAAAAAA"/>
      </top>
      <bottom style="thin">
        <color indexed="64"/>
      </bottom>
      <diagonal/>
    </border>
    <border>
      <left/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8" fillId="8" borderId="2" xfId="0" applyFont="1" applyFill="1" applyBorder="1" applyAlignment="1">
      <alignment horizontal="left" vertical="center" wrapText="1"/>
    </xf>
    <xf numFmtId="0" fontId="11" fillId="0" borderId="2" xfId="0" applyFont="1" applyBorder="1"/>
    <xf numFmtId="0" fontId="5" fillId="0" borderId="2" xfId="0" applyFont="1" applyBorder="1"/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2" fontId="5" fillId="5" borderId="2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2" fontId="5" fillId="4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2" fontId="9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2" fontId="9" fillId="5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10" fillId="7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164" fontId="15" fillId="6" borderId="2" xfId="0" applyNumberFormat="1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2" fontId="5" fillId="8" borderId="2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165" fontId="9" fillId="4" borderId="2" xfId="0" applyNumberFormat="1" applyFont="1" applyFill="1" applyBorder="1" applyAlignment="1">
      <alignment horizontal="center" vertical="center" wrapText="1"/>
    </xf>
    <xf numFmtId="165" fontId="9" fillId="5" borderId="2" xfId="0" applyNumberFormat="1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165" fontId="5" fillId="4" borderId="6" xfId="0" applyNumberFormat="1" applyFont="1" applyFill="1" applyBorder="1" applyAlignment="1">
      <alignment horizontal="center" vertical="center" wrapText="1"/>
    </xf>
    <xf numFmtId="165" fontId="5" fillId="5" borderId="6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Border="1"/>
    <xf numFmtId="0" fontId="2" fillId="2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left" vertical="center" wrapText="1"/>
    </xf>
    <xf numFmtId="2" fontId="9" fillId="4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left" vertical="center" wrapText="1"/>
    </xf>
    <xf numFmtId="2" fontId="9" fillId="5" borderId="9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10" xfId="0" applyFill="1" applyBorder="1" applyAlignment="1"/>
    <xf numFmtId="0" fontId="19" fillId="0" borderId="11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centerContinuous"/>
    </xf>
    <xf numFmtId="0" fontId="14" fillId="0" borderId="2" xfId="0" applyFont="1" applyFill="1" applyBorder="1" applyAlignment="1">
      <alignment horizontal="left" vertical="center" wrapText="1"/>
    </xf>
    <xf numFmtId="185" fontId="5" fillId="6" borderId="2" xfId="0" applyNumberFormat="1" applyFont="1" applyFill="1" applyBorder="1" applyAlignment="1">
      <alignment horizontal="center" vertical="center" wrapText="1"/>
    </xf>
    <xf numFmtId="0" fontId="0" fillId="7" borderId="5" xfId="0" applyFill="1" applyBorder="1"/>
    <xf numFmtId="0" fontId="19" fillId="0" borderId="9" xfId="0" applyFont="1" applyFill="1" applyBorder="1" applyAlignment="1">
      <alignment horizontal="center"/>
    </xf>
    <xf numFmtId="0" fontId="0" fillId="0" borderId="9" xfId="0" applyFill="1" applyBorder="1" applyAlignment="1"/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0" fillId="9" borderId="9" xfId="0" applyFill="1" applyBorder="1" applyAlignment="1"/>
    <xf numFmtId="0" fontId="3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top" wrapText="1"/>
    </xf>
    <xf numFmtId="0" fontId="20" fillId="0" borderId="0" xfId="0" applyFont="1" applyFill="1" applyBorder="1"/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/>
    </xf>
    <xf numFmtId="0" fontId="21" fillId="0" borderId="9" xfId="0" applyFont="1" applyBorder="1"/>
    <xf numFmtId="0" fontId="21" fillId="10" borderId="9" xfId="0" applyFont="1" applyFill="1" applyBorder="1" applyAlignment="1">
      <alignment horizontal="center"/>
    </xf>
    <xf numFmtId="0" fontId="21" fillId="10" borderId="17" xfId="0" applyFont="1" applyFill="1" applyBorder="1" applyAlignment="1">
      <alignment horizontal="center"/>
    </xf>
    <xf numFmtId="0" fontId="21" fillId="10" borderId="18" xfId="0" applyFont="1" applyFill="1" applyBorder="1" applyAlignment="1">
      <alignment horizontal="center"/>
    </xf>
    <xf numFmtId="0" fontId="21" fillId="11" borderId="0" xfId="0" applyFont="1" applyFill="1" applyAlignment="1">
      <alignment horizontal="center"/>
    </xf>
    <xf numFmtId="0" fontId="8" fillId="0" borderId="0" xfId="0" applyFont="1" applyFill="1" applyBorder="1" applyAlignment="1">
      <alignment horizontal="left" vertical="center" wrapText="1"/>
    </xf>
    <xf numFmtId="0" fontId="21" fillId="10" borderId="9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2" fontId="22" fillId="0" borderId="9" xfId="0" applyNumberFormat="1" applyFont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/>
    </xf>
    <xf numFmtId="0" fontId="24" fillId="0" borderId="0" xfId="0" applyFont="1"/>
    <xf numFmtId="0" fontId="3" fillId="4" borderId="19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left" vertical="center" wrapText="1"/>
    </xf>
    <xf numFmtId="2" fontId="3" fillId="4" borderId="19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88888"/>
      <rgbColor rgb="FF9999FF"/>
      <rgbColor rgb="FF993366"/>
      <rgbColor rgb="FFFFF2CC"/>
      <rgbColor rgb="FFF8F8F8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555555"/>
      <rgbColor rgb="FF999999"/>
      <rgbColor rgb="FF1F3864"/>
      <rgbColor rgb="FF1F7A1F"/>
      <rgbColor rgb="FF003300"/>
      <rgbColor rgb="FF333300"/>
      <rgbColor rgb="FF993300"/>
      <rgbColor rgb="FF993366"/>
      <rgbColor rgb="FF2E4C8C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showGridLines="0" topLeftCell="A10" zoomScale="94" zoomScaleNormal="94" workbookViewId="0">
      <selection activeCell="B37" sqref="B37"/>
    </sheetView>
  </sheetViews>
  <sheetFormatPr defaultColWidth="8.6640625" defaultRowHeight="14.4"/>
  <cols>
    <col min="1" max="1" width="45.77734375" bestFit="1" customWidth="1"/>
    <col min="2" max="2" width="17.21875" bestFit="1" customWidth="1"/>
    <col min="3" max="3" width="19.5546875" bestFit="1" customWidth="1"/>
    <col min="4" max="4" width="62.5546875" bestFit="1" customWidth="1"/>
    <col min="5" max="5" width="18.6640625" bestFit="1" customWidth="1"/>
    <col min="6" max="6" width="18.33203125" bestFit="1" customWidth="1"/>
    <col min="7" max="7" width="8.88671875" bestFit="1" customWidth="1"/>
  </cols>
  <sheetData>
    <row r="1" spans="1:7" ht="30" customHeight="1">
      <c r="A1" s="5" t="s">
        <v>0</v>
      </c>
      <c r="B1" s="5"/>
      <c r="C1" s="5"/>
      <c r="D1" s="5"/>
      <c r="E1" s="5"/>
      <c r="F1" s="5"/>
      <c r="G1" s="5"/>
    </row>
    <row r="3" spans="1:7" ht="15" customHeight="1">
      <c r="A3" s="4" t="s">
        <v>243</v>
      </c>
      <c r="B3" s="4"/>
      <c r="C3" s="4"/>
      <c r="D3" s="4"/>
    </row>
    <row r="4" spans="1:7" ht="15" customHeight="1">
      <c r="A4" s="6" t="s">
        <v>1</v>
      </c>
      <c r="B4" s="6" t="s">
        <v>2</v>
      </c>
      <c r="C4" s="6" t="s">
        <v>3</v>
      </c>
      <c r="D4" s="6" t="s">
        <v>4</v>
      </c>
    </row>
    <row r="5" spans="1:7" ht="21.75" customHeight="1">
      <c r="A5" s="7" t="s">
        <v>5</v>
      </c>
      <c r="B5" s="7">
        <v>339</v>
      </c>
      <c r="C5" s="8" t="s">
        <v>6</v>
      </c>
      <c r="D5" s="9" t="s">
        <v>7</v>
      </c>
    </row>
    <row r="6" spans="1:7" ht="32.25" customHeight="1">
      <c r="A6" s="10" t="s">
        <v>8</v>
      </c>
      <c r="B6" s="10">
        <v>420</v>
      </c>
      <c r="C6" s="11">
        <f>(B6-B5)/B5</f>
        <v>0.23893805309734514</v>
      </c>
      <c r="D6" s="12" t="s">
        <v>9</v>
      </c>
    </row>
    <row r="7" spans="1:7" ht="21.75" customHeight="1">
      <c r="A7" s="7" t="s">
        <v>10</v>
      </c>
      <c r="B7" s="7">
        <v>450</v>
      </c>
      <c r="C7" s="13">
        <f>(B7-B6)/B6</f>
        <v>7.1428571428571425E-2</v>
      </c>
      <c r="D7" s="9" t="s">
        <v>11</v>
      </c>
    </row>
    <row r="9" spans="1:7" ht="15" customHeight="1">
      <c r="A9" s="71" t="s">
        <v>244</v>
      </c>
      <c r="B9" s="71"/>
      <c r="C9" s="71"/>
      <c r="D9" s="71"/>
    </row>
    <row r="10" spans="1:7" ht="23.25" customHeight="1">
      <c r="A10" s="6" t="s">
        <v>15</v>
      </c>
      <c r="B10" s="6" t="s">
        <v>16</v>
      </c>
      <c r="C10" s="6" t="s">
        <v>17</v>
      </c>
      <c r="D10" s="6" t="s">
        <v>18</v>
      </c>
      <c r="E10" s="6" t="s">
        <v>12</v>
      </c>
      <c r="F10" s="6" t="s">
        <v>13</v>
      </c>
      <c r="G10" s="6" t="s">
        <v>14</v>
      </c>
    </row>
    <row r="11" spans="1:7" ht="15" customHeight="1">
      <c r="A11" s="14" t="s">
        <v>19</v>
      </c>
      <c r="B11" s="7">
        <v>180</v>
      </c>
      <c r="C11" s="13">
        <f t="shared" ref="C11:C21" si="0">B11/420</f>
        <v>0.42857142857142855</v>
      </c>
      <c r="D11" s="7" t="s">
        <v>20</v>
      </c>
      <c r="E11" s="15">
        <f>350*(B11/221)</f>
        <v>285.0678733031674</v>
      </c>
      <c r="F11" s="16">
        <f>7500*(B11/221)</f>
        <v>6108.5972850678736</v>
      </c>
      <c r="G11" s="15">
        <f t="shared" ref="G11:G20" si="1">E11/B11</f>
        <v>1.5837104072398189</v>
      </c>
    </row>
    <row r="12" spans="1:7" ht="15" customHeight="1">
      <c r="A12" s="17" t="s">
        <v>21</v>
      </c>
      <c r="B12" s="10">
        <v>59</v>
      </c>
      <c r="C12" s="11">
        <f t="shared" si="0"/>
        <v>0.14047619047619048</v>
      </c>
      <c r="D12" s="10" t="s">
        <v>22</v>
      </c>
      <c r="E12" s="18">
        <f>210*(B12/139)</f>
        <v>89.136690647482027</v>
      </c>
      <c r="F12" s="19">
        <f>3200*(B12/139)</f>
        <v>1358.2733812949641</v>
      </c>
      <c r="G12" s="18">
        <f t="shared" si="1"/>
        <v>1.510791366906475</v>
      </c>
    </row>
    <row r="13" spans="1:7" ht="15" customHeight="1">
      <c r="A13" s="14" t="s">
        <v>23</v>
      </c>
      <c r="B13" s="7">
        <v>43</v>
      </c>
      <c r="C13" s="13">
        <f t="shared" si="0"/>
        <v>0.10238095238095238</v>
      </c>
      <c r="D13" s="7" t="s">
        <v>22</v>
      </c>
      <c r="E13" s="15">
        <f>210*(B13/139)</f>
        <v>64.964028776978424</v>
      </c>
      <c r="F13" s="16">
        <f>3200*(B13/139)</f>
        <v>989.92805755395693</v>
      </c>
      <c r="G13" s="15">
        <f t="shared" si="1"/>
        <v>1.510791366906475</v>
      </c>
    </row>
    <row r="14" spans="1:7" ht="15" customHeight="1">
      <c r="A14" s="17" t="s">
        <v>24</v>
      </c>
      <c r="B14" s="10">
        <v>37</v>
      </c>
      <c r="C14" s="11">
        <f t="shared" si="0"/>
        <v>8.8095238095238101E-2</v>
      </c>
      <c r="D14" s="10" t="s">
        <v>22</v>
      </c>
      <c r="E14" s="18">
        <f>210*(B14/139)</f>
        <v>55.899280575539571</v>
      </c>
      <c r="F14" s="19">
        <f>3200*(B14/139)</f>
        <v>851.79856115107918</v>
      </c>
      <c r="G14" s="18">
        <f t="shared" si="1"/>
        <v>1.510791366906475</v>
      </c>
    </row>
    <row r="15" spans="1:7" ht="15" customHeight="1">
      <c r="A15" s="14" t="s">
        <v>25</v>
      </c>
      <c r="B15" s="7">
        <v>26</v>
      </c>
      <c r="C15" s="13">
        <f t="shared" si="0"/>
        <v>6.1904761904761907E-2</v>
      </c>
      <c r="D15" s="7" t="s">
        <v>20</v>
      </c>
      <c r="E15" s="15">
        <f>350*(B15/221)</f>
        <v>41.176470588235297</v>
      </c>
      <c r="F15" s="16">
        <f>7500*(B15/221)</f>
        <v>882.35294117647061</v>
      </c>
      <c r="G15" s="15">
        <f t="shared" si="1"/>
        <v>1.5837104072398192</v>
      </c>
    </row>
    <row r="16" spans="1:7" ht="15" customHeight="1">
      <c r="A16" s="17" t="s">
        <v>26</v>
      </c>
      <c r="B16" s="10">
        <v>12</v>
      </c>
      <c r="C16" s="11">
        <f t="shared" si="0"/>
        <v>2.8571428571428571E-2</v>
      </c>
      <c r="D16" s="10" t="s">
        <v>27</v>
      </c>
      <c r="E16" s="18">
        <f>180*(B16/37)</f>
        <v>58.378378378378379</v>
      </c>
      <c r="F16" s="19">
        <f>2600*(B16/37)</f>
        <v>843.24324324324334</v>
      </c>
      <c r="G16" s="18">
        <f t="shared" si="1"/>
        <v>4.8648648648648649</v>
      </c>
    </row>
    <row r="17" spans="1:7" ht="15" customHeight="1">
      <c r="A17" s="14" t="s">
        <v>28</v>
      </c>
      <c r="B17" s="7">
        <v>13</v>
      </c>
      <c r="C17" s="13">
        <f t="shared" si="0"/>
        <v>3.0952380952380953E-2</v>
      </c>
      <c r="D17" s="7" t="s">
        <v>27</v>
      </c>
      <c r="E17" s="15">
        <f>180*(B17/37)</f>
        <v>63.243243243243249</v>
      </c>
      <c r="F17" s="16">
        <f>2600*(B17/37)</f>
        <v>913.51351351351354</v>
      </c>
      <c r="G17" s="15">
        <f t="shared" si="1"/>
        <v>4.8648648648648649</v>
      </c>
    </row>
    <row r="18" spans="1:7" ht="15" customHeight="1">
      <c r="A18" s="17" t="s">
        <v>29</v>
      </c>
      <c r="B18" s="10">
        <v>12</v>
      </c>
      <c r="C18" s="11">
        <f t="shared" si="0"/>
        <v>2.8571428571428571E-2</v>
      </c>
      <c r="D18" s="10" t="s">
        <v>27</v>
      </c>
      <c r="E18" s="18">
        <f>180*(B18/37)</f>
        <v>58.378378378378379</v>
      </c>
      <c r="F18" s="19">
        <f>2600*(B18/37)</f>
        <v>843.24324324324334</v>
      </c>
      <c r="G18" s="18">
        <f t="shared" si="1"/>
        <v>4.8648648648648649</v>
      </c>
    </row>
    <row r="19" spans="1:7" ht="15" customHeight="1">
      <c r="A19" s="14" t="s">
        <v>30</v>
      </c>
      <c r="B19" s="7">
        <v>10</v>
      </c>
      <c r="C19" s="13">
        <f t="shared" si="0"/>
        <v>2.3809523809523808E-2</v>
      </c>
      <c r="D19" s="7" t="s">
        <v>20</v>
      </c>
      <c r="E19" s="15">
        <f>350*(B19/221)</f>
        <v>15.837104072398189</v>
      </c>
      <c r="F19" s="16">
        <f>7500*(B19/221)</f>
        <v>339.36651583710409</v>
      </c>
      <c r="G19" s="15">
        <f t="shared" si="1"/>
        <v>1.5837104072398189</v>
      </c>
    </row>
    <row r="20" spans="1:7" ht="15" customHeight="1">
      <c r="A20" s="17" t="s">
        <v>31</v>
      </c>
      <c r="B20" s="10">
        <v>5</v>
      </c>
      <c r="C20" s="11">
        <f t="shared" si="0"/>
        <v>1.1904761904761904E-2</v>
      </c>
      <c r="D20" s="10" t="s">
        <v>20</v>
      </c>
      <c r="E20" s="18">
        <f>350*(B20/221)</f>
        <v>7.9185520361990944</v>
      </c>
      <c r="F20" s="19">
        <f>7500*(B20/221)</f>
        <v>169.68325791855204</v>
      </c>
      <c r="G20" s="18">
        <f t="shared" si="1"/>
        <v>1.5837104072398189</v>
      </c>
    </row>
    <row r="21" spans="1:7" ht="15" customHeight="1">
      <c r="A21" s="14" t="s">
        <v>32</v>
      </c>
      <c r="B21" s="7">
        <v>23</v>
      </c>
      <c r="C21" s="13">
        <f t="shared" si="0"/>
        <v>5.4761904761904762E-2</v>
      </c>
      <c r="D21" s="7" t="s">
        <v>33</v>
      </c>
      <c r="E21" s="20" t="s">
        <v>6</v>
      </c>
      <c r="F21" s="20" t="s">
        <v>6</v>
      </c>
      <c r="G21" s="20" t="s">
        <v>6</v>
      </c>
    </row>
    <row r="22" spans="1:7" ht="15" customHeight="1">
      <c r="A22" s="6" t="s">
        <v>34</v>
      </c>
      <c r="B22" s="6">
        <f>SUM(B11:B21)</f>
        <v>420</v>
      </c>
      <c r="C22" s="21">
        <f>SUM(C11:C21)</f>
        <v>1</v>
      </c>
      <c r="D22" s="6" t="s">
        <v>35</v>
      </c>
      <c r="E22" s="22">
        <f>SUM(E11:E21)</f>
        <v>740</v>
      </c>
      <c r="F22" s="23">
        <f>SUM(F11:F21)</f>
        <v>13300.000000000002</v>
      </c>
      <c r="G22" s="6"/>
    </row>
    <row r="24" spans="1:7" ht="15" customHeight="1">
      <c r="A24" s="72" t="s">
        <v>249</v>
      </c>
      <c r="B24" s="73"/>
      <c r="C24" s="73"/>
      <c r="D24" s="75"/>
    </row>
    <row r="25" spans="1:7" ht="15" customHeight="1">
      <c r="A25" s="6" t="s">
        <v>36</v>
      </c>
      <c r="B25" s="6" t="s">
        <v>2</v>
      </c>
      <c r="C25" s="68" t="s">
        <v>37</v>
      </c>
      <c r="D25" s="66"/>
    </row>
    <row r="26" spans="1:7">
      <c r="A26" s="7" t="s">
        <v>38</v>
      </c>
      <c r="B26" s="7">
        <v>38.6</v>
      </c>
      <c r="C26" s="69">
        <f>B26</f>
        <v>38.6</v>
      </c>
      <c r="D26" s="67"/>
    </row>
    <row r="27" spans="1:7">
      <c r="A27" s="10" t="s">
        <v>39</v>
      </c>
      <c r="B27" s="10">
        <v>36.4</v>
      </c>
      <c r="C27" s="70">
        <f t="shared" ref="C27:C37" si="2">C26+B27</f>
        <v>75</v>
      </c>
      <c r="D27" s="67"/>
    </row>
    <row r="28" spans="1:7">
      <c r="A28" s="7" t="s">
        <v>40</v>
      </c>
      <c r="B28" s="7">
        <v>40.1</v>
      </c>
      <c r="C28" s="69">
        <f t="shared" si="2"/>
        <v>115.1</v>
      </c>
      <c r="D28" s="67"/>
    </row>
    <row r="29" spans="1:7">
      <c r="A29" s="10" t="s">
        <v>41</v>
      </c>
      <c r="B29" s="10">
        <v>35.9</v>
      </c>
      <c r="C29" s="70">
        <f t="shared" si="2"/>
        <v>151</v>
      </c>
      <c r="D29" s="67"/>
    </row>
    <row r="30" spans="1:7">
      <c r="A30" s="7" t="s">
        <v>42</v>
      </c>
      <c r="B30" s="7">
        <v>41.8</v>
      </c>
      <c r="C30" s="69">
        <f t="shared" si="2"/>
        <v>192.8</v>
      </c>
      <c r="D30" s="67"/>
    </row>
    <row r="31" spans="1:7">
      <c r="A31" s="10" t="s">
        <v>43</v>
      </c>
      <c r="B31" s="10">
        <v>39.700000000000003</v>
      </c>
      <c r="C31" s="70">
        <f t="shared" si="2"/>
        <v>232.5</v>
      </c>
      <c r="D31" s="67"/>
    </row>
    <row r="32" spans="1:7">
      <c r="A32" s="7" t="s">
        <v>44</v>
      </c>
      <c r="B32" s="7">
        <v>37.5</v>
      </c>
      <c r="C32" s="69">
        <f t="shared" si="2"/>
        <v>270</v>
      </c>
      <c r="D32" s="67"/>
    </row>
    <row r="33" spans="1:6">
      <c r="A33" s="10" t="s">
        <v>45</v>
      </c>
      <c r="B33" s="10">
        <v>42.2</v>
      </c>
      <c r="C33" s="70">
        <f t="shared" si="2"/>
        <v>312.2</v>
      </c>
      <c r="D33" s="67"/>
    </row>
    <row r="34" spans="1:6">
      <c r="A34" s="7" t="s">
        <v>46</v>
      </c>
      <c r="B34" s="7">
        <v>39.4</v>
      </c>
      <c r="C34" s="69">
        <f t="shared" si="2"/>
        <v>351.59999999999997</v>
      </c>
      <c r="D34" s="67"/>
    </row>
    <row r="35" spans="1:6">
      <c r="A35" s="10" t="s">
        <v>47</v>
      </c>
      <c r="B35" s="10">
        <v>41</v>
      </c>
      <c r="C35" s="70">
        <f t="shared" si="2"/>
        <v>392.59999999999997</v>
      </c>
      <c r="D35" s="67"/>
    </row>
    <row r="36" spans="1:6">
      <c r="A36" s="7" t="s">
        <v>48</v>
      </c>
      <c r="B36" s="7">
        <v>40.5</v>
      </c>
      <c r="C36" s="69">
        <f t="shared" si="2"/>
        <v>433.09999999999997</v>
      </c>
      <c r="D36" s="67"/>
    </row>
    <row r="37" spans="1:6">
      <c r="A37" s="10" t="s">
        <v>49</v>
      </c>
      <c r="B37" s="10">
        <v>41.9</v>
      </c>
      <c r="C37" s="70">
        <f t="shared" si="2"/>
        <v>474.99999999999994</v>
      </c>
      <c r="D37" s="67"/>
    </row>
    <row r="38" spans="1:6" ht="15" customHeight="1">
      <c r="A38" s="6" t="s">
        <v>245</v>
      </c>
      <c r="B38" s="6">
        <f>SUM(B26:B37)</f>
        <v>474.99999999999994</v>
      </c>
      <c r="C38" s="6"/>
      <c r="D38" s="65" t="s">
        <v>50</v>
      </c>
    </row>
    <row r="40" spans="1:6" ht="15" customHeight="1">
      <c r="A40" s="71" t="s">
        <v>247</v>
      </c>
      <c r="B40" s="71"/>
      <c r="C40" s="71"/>
      <c r="D40" s="71"/>
      <c r="E40" s="71"/>
      <c r="F40" s="71"/>
    </row>
    <row r="41" spans="1:6" ht="15" customHeight="1">
      <c r="A41" s="6" t="s">
        <v>18</v>
      </c>
      <c r="B41" s="6" t="s">
        <v>2</v>
      </c>
      <c r="C41" s="6" t="s">
        <v>51</v>
      </c>
      <c r="D41" s="6" t="s">
        <v>13</v>
      </c>
      <c r="E41" s="6" t="s">
        <v>52</v>
      </c>
      <c r="F41" s="6" t="s">
        <v>53</v>
      </c>
    </row>
    <row r="42" spans="1:6" ht="15" customHeight="1">
      <c r="A42" s="14" t="s">
        <v>20</v>
      </c>
      <c r="B42" s="7">
        <v>200</v>
      </c>
      <c r="C42" s="7">
        <v>350</v>
      </c>
      <c r="D42" s="7">
        <v>7500</v>
      </c>
      <c r="E42" s="18">
        <f>C42/B42</f>
        <v>1.75</v>
      </c>
      <c r="F42" s="18">
        <f>D42/B42</f>
        <v>37.5</v>
      </c>
    </row>
    <row r="43" spans="1:6" ht="15" customHeight="1">
      <c r="A43" s="17" t="s">
        <v>22</v>
      </c>
      <c r="B43" s="10">
        <v>110</v>
      </c>
      <c r="C43" s="10">
        <v>210</v>
      </c>
      <c r="D43" s="10">
        <v>3200</v>
      </c>
      <c r="E43" s="15">
        <f>C43/B43</f>
        <v>1.9090909090909092</v>
      </c>
      <c r="F43" s="15">
        <f>D43/B43</f>
        <v>29.09090909090909</v>
      </c>
    </row>
    <row r="44" spans="1:6" ht="15" customHeight="1">
      <c r="A44" s="14" t="s">
        <v>27</v>
      </c>
      <c r="B44" s="7">
        <v>90</v>
      </c>
      <c r="C44" s="7">
        <v>180</v>
      </c>
      <c r="D44" s="7">
        <v>2600</v>
      </c>
      <c r="E44" s="18">
        <f>C44/B44</f>
        <v>2</v>
      </c>
      <c r="F44" s="18">
        <f>D44/B44</f>
        <v>28.888888888888889</v>
      </c>
    </row>
    <row r="45" spans="1:6" ht="15" customHeight="1">
      <c r="A45" s="17" t="s">
        <v>54</v>
      </c>
      <c r="B45" s="10">
        <v>50</v>
      </c>
      <c r="C45" s="10">
        <v>120</v>
      </c>
      <c r="D45" s="10">
        <v>2200</v>
      </c>
      <c r="E45" s="15">
        <f>C45/B45</f>
        <v>2.4</v>
      </c>
      <c r="F45" s="15">
        <f>D45/B45</f>
        <v>44</v>
      </c>
    </row>
    <row r="46" spans="1:6" ht="15" customHeight="1">
      <c r="A46" s="6" t="s">
        <v>34</v>
      </c>
      <c r="B46" s="6">
        <f>SUM(B42:B45)</f>
        <v>450</v>
      </c>
      <c r="C46" s="6">
        <f>SUM(C42:C45)</f>
        <v>860</v>
      </c>
      <c r="D46" s="6">
        <f>SUM(D42:D45)</f>
        <v>15500</v>
      </c>
      <c r="E46" s="22">
        <f>C46/B46</f>
        <v>1.9111111111111112</v>
      </c>
      <c r="F46" s="22">
        <f>D46/B46</f>
        <v>34.444444444444443</v>
      </c>
    </row>
    <row r="48" spans="1:6" ht="15" customHeight="1">
      <c r="A48" s="71" t="s">
        <v>246</v>
      </c>
      <c r="B48" s="71"/>
      <c r="C48" s="71"/>
      <c r="D48" s="71"/>
    </row>
    <row r="49" spans="1:7" ht="15" customHeight="1">
      <c r="A49" s="6" t="s">
        <v>55</v>
      </c>
      <c r="B49" s="6" t="s">
        <v>56</v>
      </c>
      <c r="C49" s="6" t="s">
        <v>57</v>
      </c>
      <c r="D49" s="6" t="s">
        <v>4</v>
      </c>
    </row>
    <row r="50" spans="1:7">
      <c r="A50" s="7" t="s">
        <v>58</v>
      </c>
      <c r="B50" s="7">
        <v>11005</v>
      </c>
      <c r="C50" s="13">
        <f>B50/SUM(B50:B52)</f>
        <v>0.70826361179044928</v>
      </c>
      <c r="D50" s="8" t="s">
        <v>59</v>
      </c>
    </row>
    <row r="51" spans="1:7">
      <c r="A51" s="10" t="s">
        <v>60</v>
      </c>
      <c r="B51" s="10">
        <v>1977</v>
      </c>
      <c r="C51" s="11">
        <f>B51/SUM(B50:B52)</f>
        <v>0.12723645256789806</v>
      </c>
      <c r="D51" s="63" t="s">
        <v>61</v>
      </c>
    </row>
    <row r="52" spans="1:7">
      <c r="A52" s="7" t="s">
        <v>62</v>
      </c>
      <c r="B52" s="7">
        <v>2556</v>
      </c>
      <c r="C52" s="13">
        <f>B52/SUM(B50:B52)</f>
        <v>0.16449993564165272</v>
      </c>
      <c r="D52" s="8" t="s">
        <v>61</v>
      </c>
    </row>
    <row r="53" spans="1:7" ht="15" customHeight="1">
      <c r="A53" s="6" t="s">
        <v>34</v>
      </c>
      <c r="B53" s="6">
        <f>SUM(B50:B52)</f>
        <v>15538</v>
      </c>
      <c r="C53" s="21">
        <f>SUM(C50:C52)</f>
        <v>1</v>
      </c>
      <c r="D53" s="6" t="s">
        <v>63</v>
      </c>
    </row>
    <row r="55" spans="1:7" ht="15" customHeight="1">
      <c r="A55" s="71" t="s">
        <v>248</v>
      </c>
      <c r="B55" s="71"/>
      <c r="C55" s="71"/>
    </row>
    <row r="56" spans="1:7" ht="15" customHeight="1">
      <c r="A56" s="6" t="s">
        <v>64</v>
      </c>
      <c r="B56" s="6" t="s">
        <v>65</v>
      </c>
      <c r="C56" s="6" t="s">
        <v>66</v>
      </c>
    </row>
    <row r="57" spans="1:7" ht="15" customHeight="1">
      <c r="A57" s="14" t="s">
        <v>67</v>
      </c>
      <c r="B57" s="7">
        <v>240</v>
      </c>
      <c r="C57" s="7">
        <v>110</v>
      </c>
    </row>
    <row r="58" spans="1:7" ht="15" customHeight="1">
      <c r="A58" s="17" t="s">
        <v>68</v>
      </c>
      <c r="B58" s="10">
        <v>70</v>
      </c>
      <c r="C58" s="10">
        <v>80</v>
      </c>
    </row>
    <row r="59" spans="1:7" ht="15" customHeight="1">
      <c r="A59" s="6" t="s">
        <v>69</v>
      </c>
      <c r="B59" s="6">
        <f>SUM(B57:B58)</f>
        <v>310</v>
      </c>
      <c r="C59" s="6">
        <f>SUM(C57:C58)</f>
        <v>190</v>
      </c>
    </row>
    <row r="61" spans="1:7" ht="15" customHeight="1">
      <c r="A61" s="62"/>
      <c r="B61" s="62"/>
      <c r="C61" s="62"/>
      <c r="D61" s="62"/>
      <c r="E61" s="62"/>
      <c r="F61" s="62"/>
      <c r="G61" s="62"/>
    </row>
  </sheetData>
  <mergeCells count="8">
    <mergeCell ref="A48:D48"/>
    <mergeCell ref="A55:C55"/>
    <mergeCell ref="A61:G61"/>
    <mergeCell ref="A24:C24"/>
    <mergeCell ref="A1:G1"/>
    <mergeCell ref="A3:D3"/>
    <mergeCell ref="A9:D9"/>
    <mergeCell ref="A40:F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showGridLines="0" zoomScaleNormal="100" workbookViewId="0">
      <selection activeCell="B5" sqref="B5"/>
    </sheetView>
  </sheetViews>
  <sheetFormatPr defaultColWidth="8.6640625" defaultRowHeight="14.4"/>
  <cols>
    <col min="1" max="1" width="23" bestFit="1" customWidth="1"/>
    <col min="2" max="2" width="11.6640625" bestFit="1" customWidth="1"/>
    <col min="3" max="3" width="12.77734375" bestFit="1" customWidth="1"/>
    <col min="4" max="5" width="29.21875" bestFit="1" customWidth="1"/>
    <col min="6" max="6" width="18" customWidth="1"/>
  </cols>
  <sheetData>
    <row r="1" spans="1:6" ht="15.75" customHeight="1">
      <c r="A1" s="5" t="s">
        <v>70</v>
      </c>
      <c r="B1" s="5"/>
      <c r="C1" s="5"/>
      <c r="D1" s="5"/>
      <c r="E1" s="5"/>
      <c r="F1" s="5"/>
    </row>
    <row r="3" spans="1:6" ht="23.25" customHeight="1">
      <c r="A3" s="4" t="s">
        <v>71</v>
      </c>
      <c r="B3" s="4"/>
    </row>
    <row r="4" spans="1:6" ht="15" customHeight="1">
      <c r="A4" s="6" t="s">
        <v>72</v>
      </c>
      <c r="B4" s="6" t="s">
        <v>73</v>
      </c>
    </row>
    <row r="5" spans="1:6" ht="15" customHeight="1">
      <c r="A5" s="27" t="s">
        <v>74</v>
      </c>
      <c r="B5" s="28">
        <f>AVERAGE('1_Raw_Data'!B26:B37)</f>
        <v>39.583333333333329</v>
      </c>
    </row>
    <row r="6" spans="1:6" ht="15" customHeight="1">
      <c r="A6" s="29" t="s">
        <v>75</v>
      </c>
      <c r="B6" s="30">
        <f>MEDIAN('1_Raw_Data'!B26:B37)</f>
        <v>39.900000000000006</v>
      </c>
    </row>
    <row r="7" spans="1:6" ht="15" customHeight="1">
      <c r="A7" s="27" t="s">
        <v>76</v>
      </c>
      <c r="B7" s="28">
        <f>STDEV('1_Raw_Data'!B26:B37)</f>
        <v>2.1169589394967381</v>
      </c>
    </row>
    <row r="8" spans="1:6" ht="15" customHeight="1">
      <c r="A8" s="29" t="s">
        <v>77</v>
      </c>
      <c r="B8" s="30">
        <f>VAR('1_Raw_Data'!B26:B37)</f>
        <v>4.4815151515151532</v>
      </c>
    </row>
    <row r="9" spans="1:6" ht="15" customHeight="1">
      <c r="A9" s="27" t="s">
        <v>78</v>
      </c>
      <c r="B9" s="28">
        <f>MIN('1_Raw_Data'!B26:B37)</f>
        <v>35.9</v>
      </c>
    </row>
    <row r="10" spans="1:6" ht="15" customHeight="1">
      <c r="A10" s="29" t="s">
        <v>79</v>
      </c>
      <c r="B10" s="30">
        <f>MAX('1_Raw_Data'!B26:B37)</f>
        <v>42.2</v>
      </c>
    </row>
    <row r="11" spans="1:6" ht="15" customHeight="1">
      <c r="A11" s="27" t="s">
        <v>80</v>
      </c>
      <c r="B11" s="28">
        <f>MAX('1_Raw_Data'!B26:B37)-MIN('1_Raw_Data'!B26:B37)</f>
        <v>6.3000000000000043</v>
      </c>
    </row>
    <row r="12" spans="1:6" ht="15" customHeight="1">
      <c r="A12" s="29" t="s">
        <v>81</v>
      </c>
      <c r="B12" s="30">
        <f>COUNT('1_Raw_Data'!B26:B37)</f>
        <v>12</v>
      </c>
    </row>
    <row r="15" spans="1:6" ht="15" customHeight="1">
      <c r="A15" s="4" t="s">
        <v>82</v>
      </c>
      <c r="B15" s="4"/>
    </row>
    <row r="16" spans="1:6" ht="15" customHeight="1">
      <c r="A16" s="6" t="s">
        <v>72</v>
      </c>
      <c r="B16" s="6" t="s">
        <v>73</v>
      </c>
    </row>
    <row r="17" spans="1:5" ht="15" customHeight="1">
      <c r="A17" s="27" t="s">
        <v>83</v>
      </c>
      <c r="B17" s="28">
        <f>AVERAGE('1_Raw_Data'!B42:B45)</f>
        <v>112.5</v>
      </c>
    </row>
    <row r="18" spans="1:5" ht="15" customHeight="1">
      <c r="A18" s="29" t="s">
        <v>76</v>
      </c>
      <c r="B18" s="30">
        <f>STDEV('1_Raw_Data'!B42:B45)</f>
        <v>63.442887702247603</v>
      </c>
    </row>
    <row r="19" spans="1:5" ht="15" customHeight="1">
      <c r="A19" s="27" t="s">
        <v>78</v>
      </c>
      <c r="B19" s="28">
        <f>MIN('1_Raw_Data'!B42:B45)</f>
        <v>50</v>
      </c>
    </row>
    <row r="20" spans="1:5" ht="15" customHeight="1">
      <c r="A20" s="29" t="s">
        <v>79</v>
      </c>
      <c r="B20" s="30">
        <f>MAX('1_Raw_Data'!B42:B45)</f>
        <v>200</v>
      </c>
    </row>
    <row r="21" spans="1:5" ht="15" customHeight="1">
      <c r="A21" s="27" t="s">
        <v>84</v>
      </c>
      <c r="B21" s="28">
        <f>AVERAGE('1_Raw_Data'!C42:C45)</f>
        <v>215</v>
      </c>
    </row>
    <row r="22" spans="1:5" ht="15" customHeight="1">
      <c r="A22" s="29" t="s">
        <v>85</v>
      </c>
      <c r="B22" s="30">
        <f>AVERAGE('1_Raw_Data'!E42:E45)</f>
        <v>2.0147727272727272</v>
      </c>
    </row>
    <row r="23" spans="1:5" ht="15" customHeight="1">
      <c r="A23" s="27" t="s">
        <v>86</v>
      </c>
      <c r="B23" s="28">
        <f>AVERAGE('1_Raw_Data'!F42:F45)</f>
        <v>34.869949494949495</v>
      </c>
    </row>
    <row r="26" spans="1:5" ht="15" customHeight="1">
      <c r="A26" s="64" t="s">
        <v>87</v>
      </c>
      <c r="B26" s="64"/>
      <c r="C26" s="64"/>
      <c r="D26" s="64"/>
      <c r="E26" s="4"/>
    </row>
    <row r="27" spans="1:5" ht="15" customHeight="1">
      <c r="A27" s="77" t="s">
        <v>88</v>
      </c>
      <c r="B27" s="77" t="s">
        <v>89</v>
      </c>
      <c r="C27" s="77" t="s">
        <v>90</v>
      </c>
      <c r="D27" s="77" t="s">
        <v>91</v>
      </c>
    </row>
    <row r="28" spans="1:5" ht="23.25" customHeight="1">
      <c r="A28" s="80" t="s">
        <v>92</v>
      </c>
      <c r="B28" s="81">
        <f>'1_Raw_Data'!B38</f>
        <v>474.99999999999994</v>
      </c>
      <c r="C28" s="78" t="s">
        <v>93</v>
      </c>
      <c r="D28" s="78" t="s">
        <v>94</v>
      </c>
    </row>
    <row r="29" spans="1:5" ht="23.25" customHeight="1">
      <c r="A29" s="82" t="s">
        <v>95</v>
      </c>
      <c r="B29" s="83">
        <f>'1_Raw_Data'!B53</f>
        <v>15538</v>
      </c>
      <c r="C29" s="79" t="s">
        <v>96</v>
      </c>
      <c r="D29" s="79" t="s">
        <v>97</v>
      </c>
    </row>
    <row r="30" spans="1:5" ht="23.25" customHeight="1">
      <c r="A30" s="80" t="s">
        <v>98</v>
      </c>
      <c r="B30" s="81">
        <f>'1_Raw_Data'!C46</f>
        <v>860</v>
      </c>
      <c r="C30" s="78" t="s">
        <v>99</v>
      </c>
      <c r="D30" s="78" t="s">
        <v>100</v>
      </c>
    </row>
    <row r="31" spans="1:5" ht="15" customHeight="1">
      <c r="A31" s="82" t="s">
        <v>101</v>
      </c>
      <c r="B31" s="83">
        <f>MAX('1_Raw_Data'!B26:B37)</f>
        <v>42.2</v>
      </c>
      <c r="C31" s="79" t="s">
        <v>93</v>
      </c>
      <c r="D31" s="79" t="s">
        <v>102</v>
      </c>
    </row>
    <row r="32" spans="1:5" ht="15" customHeight="1">
      <c r="A32" s="80" t="s">
        <v>103</v>
      </c>
      <c r="B32" s="81">
        <f>MIN('1_Raw_Data'!B26:B37)</f>
        <v>35.9</v>
      </c>
      <c r="C32" s="78" t="s">
        <v>93</v>
      </c>
      <c r="D32" s="78" t="s">
        <v>104</v>
      </c>
    </row>
    <row r="33" spans="1:4" ht="15" customHeight="1">
      <c r="A33" s="82" t="s">
        <v>105</v>
      </c>
      <c r="B33" s="83">
        <f>'1_Raw_Data'!C11</f>
        <v>0.42857142857142855</v>
      </c>
      <c r="C33" s="79" t="s">
        <v>106</v>
      </c>
      <c r="D33" s="79" t="s">
        <v>107</v>
      </c>
    </row>
    <row r="34" spans="1:4">
      <c r="D34" s="76"/>
    </row>
    <row r="36" spans="1:4" ht="15" thickBot="1"/>
    <row r="37" spans="1:4">
      <c r="A37" s="87" t="s">
        <v>250</v>
      </c>
      <c r="B37" s="87"/>
    </row>
    <row r="38" spans="1:4">
      <c r="A38" s="84"/>
      <c r="B38" s="84"/>
    </row>
    <row r="39" spans="1:4">
      <c r="A39" s="84" t="s">
        <v>251</v>
      </c>
      <c r="B39" s="84">
        <v>39.583333333333329</v>
      </c>
    </row>
    <row r="40" spans="1:4">
      <c r="A40" s="84" t="s">
        <v>252</v>
      </c>
      <c r="B40" s="84">
        <v>0.61111340679091319</v>
      </c>
    </row>
    <row r="41" spans="1:4">
      <c r="A41" s="84" t="s">
        <v>75</v>
      </c>
      <c r="B41" s="84">
        <v>39.900000000000006</v>
      </c>
    </row>
    <row r="42" spans="1:4">
      <c r="A42" s="84" t="s">
        <v>253</v>
      </c>
      <c r="B42" s="84" t="e">
        <v>#N/A</v>
      </c>
    </row>
    <row r="43" spans="1:4">
      <c r="A43" s="84" t="s">
        <v>254</v>
      </c>
      <c r="B43" s="84">
        <v>2.1169589394967381</v>
      </c>
    </row>
    <row r="44" spans="1:4">
      <c r="A44" s="84" t="s">
        <v>255</v>
      </c>
      <c r="B44" s="84">
        <v>4.4815151515151532</v>
      </c>
    </row>
    <row r="45" spans="1:4">
      <c r="A45" s="84" t="s">
        <v>256</v>
      </c>
      <c r="B45" s="84">
        <v>-0.80743746685205897</v>
      </c>
    </row>
    <row r="46" spans="1:4">
      <c r="A46" s="84" t="s">
        <v>257</v>
      </c>
      <c r="B46" s="84">
        <v>-0.54314551607228212</v>
      </c>
    </row>
    <row r="47" spans="1:4">
      <c r="A47" s="84" t="s">
        <v>258</v>
      </c>
      <c r="B47" s="84">
        <v>6.3000000000000043</v>
      </c>
    </row>
    <row r="48" spans="1:4">
      <c r="A48" s="84" t="s">
        <v>78</v>
      </c>
      <c r="B48" s="84">
        <v>35.9</v>
      </c>
    </row>
    <row r="49" spans="1:2">
      <c r="A49" s="84" t="s">
        <v>79</v>
      </c>
      <c r="B49" s="84">
        <v>42.2</v>
      </c>
    </row>
    <row r="50" spans="1:2">
      <c r="A50" s="84" t="s">
        <v>259</v>
      </c>
      <c r="B50" s="84">
        <v>474.99999999999994</v>
      </c>
    </row>
    <row r="51" spans="1:2" ht="15" thickBot="1">
      <c r="A51" s="85" t="s">
        <v>260</v>
      </c>
      <c r="B51" s="85">
        <v>12</v>
      </c>
    </row>
  </sheetData>
  <mergeCells count="4">
    <mergeCell ref="A1:F1"/>
    <mergeCell ref="A3:B3"/>
    <mergeCell ref="A15:B15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showGridLines="0" topLeftCell="A25" zoomScaleNormal="100" workbookViewId="0">
      <selection activeCell="A55" sqref="A55"/>
    </sheetView>
  </sheetViews>
  <sheetFormatPr defaultColWidth="8.6640625" defaultRowHeight="14.4"/>
  <cols>
    <col min="1" max="1" width="30" customWidth="1"/>
    <col min="2" max="2" width="23.6640625" bestFit="1" customWidth="1"/>
    <col min="3" max="5" width="16" customWidth="1"/>
    <col min="6" max="6" width="15.44140625" bestFit="1" customWidth="1"/>
    <col min="7" max="7" width="30" customWidth="1"/>
  </cols>
  <sheetData>
    <row r="1" spans="1:7" ht="15.75" customHeight="1">
      <c r="A1" s="5" t="s">
        <v>108</v>
      </c>
      <c r="B1" s="5"/>
      <c r="C1" s="5"/>
      <c r="D1" s="5"/>
      <c r="E1" s="5"/>
      <c r="F1" s="5"/>
      <c r="G1" s="5"/>
    </row>
    <row r="3" spans="1:7" ht="15" customHeight="1">
      <c r="A3" s="4" t="s">
        <v>109</v>
      </c>
      <c r="B3" s="4"/>
      <c r="C3" s="4"/>
      <c r="D3" s="4"/>
      <c r="E3" s="4"/>
      <c r="F3" s="4"/>
    </row>
    <row r="4" spans="1:7" ht="15" customHeight="1">
      <c r="A4" s="33" t="s">
        <v>110</v>
      </c>
      <c r="B4" s="3" t="s">
        <v>111</v>
      </c>
      <c r="C4" s="3"/>
      <c r="D4" s="3"/>
      <c r="E4" s="3"/>
      <c r="F4" s="3"/>
      <c r="G4" s="3"/>
    </row>
    <row r="5" spans="1:7" ht="15" customHeight="1">
      <c r="A5" s="33" t="s">
        <v>112</v>
      </c>
      <c r="B5" s="3" t="s">
        <v>113</v>
      </c>
      <c r="C5" s="3"/>
      <c r="D5" s="3"/>
      <c r="E5" s="3"/>
      <c r="F5" s="3"/>
      <c r="G5" s="3"/>
    </row>
    <row r="6" spans="1:7" ht="15" customHeight="1">
      <c r="A6" s="33" t="s">
        <v>114</v>
      </c>
      <c r="B6" s="2" t="s">
        <v>115</v>
      </c>
      <c r="C6" s="2"/>
      <c r="D6" s="2"/>
      <c r="E6" s="2"/>
      <c r="F6" s="2"/>
      <c r="G6" s="2"/>
    </row>
    <row r="8" spans="1:7" ht="15" customHeight="1">
      <c r="A8" s="71" t="s">
        <v>116</v>
      </c>
      <c r="B8" s="71"/>
      <c r="C8" s="71"/>
      <c r="D8" s="71"/>
    </row>
    <row r="9" spans="1:7" ht="23.25" customHeight="1">
      <c r="A9" s="6" t="s">
        <v>18</v>
      </c>
      <c r="B9" s="6" t="s">
        <v>2</v>
      </c>
      <c r="C9" s="6" t="s">
        <v>117</v>
      </c>
      <c r="D9" s="6" t="s">
        <v>118</v>
      </c>
    </row>
    <row r="10" spans="1:7" ht="15" customHeight="1">
      <c r="A10" s="34" t="s">
        <v>20</v>
      </c>
      <c r="B10" s="35">
        <f>'1_Raw_Data'!B42</f>
        <v>200</v>
      </c>
      <c r="C10" s="18">
        <f>AVERAGE(B10:B13)</f>
        <v>112.5</v>
      </c>
      <c r="D10" s="18">
        <f>B10-$C10</f>
        <v>87.5</v>
      </c>
    </row>
    <row r="11" spans="1:7" ht="15" customHeight="1">
      <c r="A11" s="36" t="s">
        <v>22</v>
      </c>
      <c r="B11" s="37">
        <f>'1_Raw_Data'!B43</f>
        <v>110</v>
      </c>
      <c r="C11" s="15">
        <f>AVERAGE(B10:B13)</f>
        <v>112.5</v>
      </c>
      <c r="D11" s="15">
        <f>B11-$C11</f>
        <v>-2.5</v>
      </c>
    </row>
    <row r="12" spans="1:7" ht="15" customHeight="1">
      <c r="A12" s="34" t="s">
        <v>27</v>
      </c>
      <c r="B12" s="35">
        <f>'1_Raw_Data'!B44</f>
        <v>90</v>
      </c>
      <c r="C12" s="18">
        <f>AVERAGE(B10:B13)</f>
        <v>112.5</v>
      </c>
      <c r="D12" s="18">
        <f>B12-$C12</f>
        <v>-22.5</v>
      </c>
    </row>
    <row r="13" spans="1:7" ht="15" customHeight="1">
      <c r="A13" s="36" t="s">
        <v>54</v>
      </c>
      <c r="B13" s="37">
        <f>'1_Raw_Data'!B45</f>
        <v>50</v>
      </c>
      <c r="C13" s="15">
        <f>AVERAGE(B10:B13)</f>
        <v>112.5</v>
      </c>
      <c r="D13" s="15">
        <f>B13-$C13</f>
        <v>-62.5</v>
      </c>
    </row>
    <row r="14" spans="1:7" ht="15" customHeight="1">
      <c r="A14" s="6" t="s">
        <v>119</v>
      </c>
      <c r="B14" s="22">
        <f>AVERAGE(B10:B13)</f>
        <v>112.5</v>
      </c>
    </row>
    <row r="16" spans="1:7" ht="15" customHeight="1">
      <c r="A16" s="4" t="s">
        <v>274</v>
      </c>
      <c r="B16" s="4"/>
      <c r="C16" s="4"/>
      <c r="D16" s="4"/>
      <c r="E16" s="4"/>
      <c r="F16" s="4"/>
    </row>
    <row r="17" spans="1:7" ht="15" customHeight="1">
      <c r="A17" s="6" t="s">
        <v>120</v>
      </c>
      <c r="B17" s="6" t="s">
        <v>121</v>
      </c>
      <c r="C17" s="6" t="s">
        <v>122</v>
      </c>
      <c r="D17" s="6" t="s">
        <v>123</v>
      </c>
      <c r="E17" s="6" t="s">
        <v>124</v>
      </c>
      <c r="F17" s="6" t="s">
        <v>125</v>
      </c>
      <c r="G17" s="6" t="s">
        <v>126</v>
      </c>
    </row>
    <row r="18" spans="1:7" ht="15" customHeight="1">
      <c r="A18" s="31" t="s">
        <v>127</v>
      </c>
      <c r="B18" s="31">
        <f>SUMPRODUCT((B10:B13-B14)^2)*1</f>
        <v>12075</v>
      </c>
      <c r="C18" s="31">
        <f>4-1</f>
        <v>3</v>
      </c>
      <c r="D18" s="31">
        <f>B18/C18</f>
        <v>4025</v>
      </c>
      <c r="E18" s="31" t="s">
        <v>128</v>
      </c>
      <c r="F18" s="31" t="s">
        <v>128</v>
      </c>
      <c r="G18" s="31" t="s">
        <v>128</v>
      </c>
    </row>
    <row r="19" spans="1:7" ht="15" customHeight="1">
      <c r="A19" s="32" t="s">
        <v>129</v>
      </c>
      <c r="B19" s="32" t="s">
        <v>130</v>
      </c>
      <c r="C19" s="32">
        <f>4*(1-1)</f>
        <v>0</v>
      </c>
      <c r="D19" s="32" t="s">
        <v>131</v>
      </c>
      <c r="E19" s="32"/>
      <c r="F19" s="32"/>
      <c r="G19" s="32"/>
    </row>
    <row r="20" spans="1:7" ht="15" customHeight="1">
      <c r="A20" s="31" t="s">
        <v>132</v>
      </c>
      <c r="B20" s="31">
        <f>B18+0</f>
        <v>12075</v>
      </c>
      <c r="C20" s="31">
        <f>C18+C19</f>
        <v>3</v>
      </c>
      <c r="D20" s="31"/>
      <c r="E20" s="31"/>
      <c r="F20" s="31"/>
      <c r="G20" s="31"/>
    </row>
    <row r="22" spans="1:7">
      <c r="A22" s="72" t="s">
        <v>133</v>
      </c>
      <c r="B22" s="73"/>
      <c r="C22" s="73"/>
      <c r="D22" s="74"/>
      <c r="E22" s="101"/>
      <c r="F22" s="101"/>
      <c r="G22" s="101"/>
    </row>
    <row r="23" spans="1:7">
      <c r="A23" s="6" t="s">
        <v>18</v>
      </c>
      <c r="B23" s="6" t="s">
        <v>134</v>
      </c>
      <c r="C23" s="6" t="s">
        <v>135</v>
      </c>
      <c r="D23" s="6" t="s">
        <v>136</v>
      </c>
      <c r="E23" s="100"/>
      <c r="F23" s="100"/>
      <c r="G23" s="100"/>
    </row>
    <row r="24" spans="1:7">
      <c r="A24" s="14" t="s">
        <v>20</v>
      </c>
      <c r="B24" s="7">
        <v>151</v>
      </c>
      <c r="C24" s="7">
        <v>200</v>
      </c>
      <c r="D24" s="7">
        <v>200</v>
      </c>
    </row>
    <row r="25" spans="1:7" ht="15" customHeight="1">
      <c r="A25" s="17" t="s">
        <v>22</v>
      </c>
      <c r="B25" s="10">
        <v>83</v>
      </c>
      <c r="C25" s="10">
        <v>110</v>
      </c>
      <c r="D25" s="10">
        <v>110</v>
      </c>
    </row>
    <row r="26" spans="1:7" ht="15" customHeight="1">
      <c r="A26" s="14" t="s">
        <v>27</v>
      </c>
      <c r="B26" s="7">
        <v>68</v>
      </c>
      <c r="C26" s="7">
        <v>90</v>
      </c>
      <c r="D26" s="7">
        <v>90</v>
      </c>
    </row>
    <row r="27" spans="1:7" ht="15" customHeight="1">
      <c r="A27" s="97" t="s">
        <v>54</v>
      </c>
      <c r="B27" s="98">
        <v>38</v>
      </c>
      <c r="C27" s="98">
        <v>50</v>
      </c>
      <c r="D27" s="98">
        <v>50</v>
      </c>
    </row>
    <row r="28" spans="1:7" ht="15" customHeight="1"/>
    <row r="29" spans="1:7" ht="15" customHeight="1"/>
    <row r="30" spans="1:7" ht="15" customHeight="1"/>
    <row r="31" spans="1:7" ht="15" customHeight="1">
      <c r="A31" s="99"/>
      <c r="B31" s="99"/>
      <c r="C31" s="99"/>
      <c r="D31" s="99"/>
      <c r="E31" s="99"/>
      <c r="F31" s="99"/>
      <c r="G31" s="99"/>
    </row>
    <row r="33" spans="1:7" ht="27.6" customHeight="1">
      <c r="A33" s="93" t="s">
        <v>271</v>
      </c>
      <c r="B33" s="94"/>
      <c r="C33" s="94"/>
      <c r="D33" s="94"/>
      <c r="E33" s="94"/>
      <c r="F33" s="94"/>
      <c r="G33" s="95"/>
    </row>
    <row r="34" spans="1:7">
      <c r="A34" s="91" t="s">
        <v>120</v>
      </c>
      <c r="B34" s="91" t="s">
        <v>121</v>
      </c>
      <c r="C34" s="91" t="s">
        <v>122</v>
      </c>
      <c r="D34" s="91" t="s">
        <v>123</v>
      </c>
      <c r="E34" s="91" t="s">
        <v>265</v>
      </c>
      <c r="F34" s="91" t="s">
        <v>266</v>
      </c>
      <c r="G34" s="91" t="s">
        <v>267</v>
      </c>
    </row>
    <row r="35" spans="1:7">
      <c r="A35" s="92" t="s">
        <v>268</v>
      </c>
      <c r="B35" s="92">
        <v>30519.333333333339</v>
      </c>
      <c r="C35" s="92">
        <v>3</v>
      </c>
      <c r="D35" s="92">
        <v>10173.111111111113</v>
      </c>
      <c r="E35" s="96">
        <v>32.484654958311168</v>
      </c>
      <c r="F35" s="96">
        <v>7.8995795335494497E-5</v>
      </c>
      <c r="G35" s="92">
        <v>4.0661805513511613</v>
      </c>
    </row>
    <row r="36" spans="1:7">
      <c r="A36" s="92" t="s">
        <v>269</v>
      </c>
      <c r="B36" s="92">
        <v>2505.333333333333</v>
      </c>
      <c r="C36" s="92">
        <v>8</v>
      </c>
      <c r="D36" s="92">
        <v>313.16666666666663</v>
      </c>
      <c r="E36" s="92"/>
      <c r="F36" s="92"/>
      <c r="G36" s="92"/>
    </row>
    <row r="37" spans="1:7">
      <c r="A37" s="92"/>
      <c r="B37" s="92"/>
      <c r="C37" s="92"/>
      <c r="D37" s="92"/>
      <c r="E37" s="92"/>
      <c r="F37" s="92"/>
      <c r="G37" s="92"/>
    </row>
    <row r="38" spans="1:7">
      <c r="A38" s="92" t="s">
        <v>270</v>
      </c>
      <c r="B38" s="92">
        <v>33024.666666666672</v>
      </c>
      <c r="C38" s="92">
        <v>11</v>
      </c>
      <c r="D38" s="92"/>
      <c r="E38" s="92"/>
      <c r="F38" s="92"/>
      <c r="G38" s="92"/>
    </row>
    <row r="39" spans="1:7">
      <c r="A39" s="90"/>
      <c r="B39" s="90"/>
      <c r="C39" s="90"/>
      <c r="D39" s="90"/>
      <c r="E39" s="90"/>
      <c r="F39" s="90"/>
      <c r="G39" s="90"/>
    </row>
    <row r="40" spans="1:7">
      <c r="A40" s="39" t="s">
        <v>272</v>
      </c>
      <c r="B40" s="96">
        <v>32.484654958311168</v>
      </c>
      <c r="C40" s="38"/>
      <c r="D40" s="39" t="s">
        <v>273</v>
      </c>
      <c r="E40" s="89">
        <v>7.8899999999999993E-5</v>
      </c>
      <c r="F40" s="38"/>
      <c r="G40" s="38"/>
    </row>
    <row r="41" spans="1:7" ht="26.4">
      <c r="A41" s="39" t="s">
        <v>137</v>
      </c>
      <c r="B41" s="40" t="str">
        <f>IF(E40="","Enter p-value above",IF(E40&lt;0.05,"REJECT H0 - Regional differences are significant","FAIL TO REJECT H0 - No significant difference"))</f>
        <v>REJECT H0 - Regional differences are significant</v>
      </c>
      <c r="C41" s="38"/>
      <c r="D41" s="38"/>
      <c r="E41" s="38"/>
      <c r="F41" s="38"/>
      <c r="G41" s="38"/>
    </row>
    <row r="43" spans="1:7">
      <c r="A43" t="s">
        <v>261</v>
      </c>
    </row>
    <row r="45" spans="1:7" ht="15" thickBot="1">
      <c r="A45" t="s">
        <v>262</v>
      </c>
    </row>
    <row r="46" spans="1:7">
      <c r="A46" s="86" t="s">
        <v>263</v>
      </c>
      <c r="B46" s="86" t="s">
        <v>260</v>
      </c>
      <c r="C46" s="86" t="s">
        <v>259</v>
      </c>
      <c r="D46" s="86" t="s">
        <v>264</v>
      </c>
      <c r="E46" s="86" t="s">
        <v>77</v>
      </c>
    </row>
    <row r="47" spans="1:7">
      <c r="A47" s="84" t="s">
        <v>20</v>
      </c>
      <c r="B47" s="84">
        <v>3</v>
      </c>
      <c r="C47" s="84">
        <v>551</v>
      </c>
      <c r="D47" s="84">
        <v>183.66666666666666</v>
      </c>
      <c r="E47" s="84">
        <v>800.33333333333576</v>
      </c>
    </row>
    <row r="48" spans="1:7">
      <c r="A48" s="84" t="s">
        <v>22</v>
      </c>
      <c r="B48" s="84">
        <v>3</v>
      </c>
      <c r="C48" s="84">
        <v>303</v>
      </c>
      <c r="D48" s="84">
        <v>101</v>
      </c>
      <c r="E48" s="84">
        <v>243</v>
      </c>
    </row>
    <row r="49" spans="1:5">
      <c r="A49" s="84" t="s">
        <v>27</v>
      </c>
      <c r="B49" s="84">
        <v>3</v>
      </c>
      <c r="C49" s="84">
        <v>248</v>
      </c>
      <c r="D49" s="84">
        <v>82.666666666666671</v>
      </c>
      <c r="E49" s="84">
        <v>161.33333333333394</v>
      </c>
    </row>
    <row r="50" spans="1:5" ht="15" thickBot="1">
      <c r="A50" s="85" t="s">
        <v>54</v>
      </c>
      <c r="B50" s="85">
        <v>3</v>
      </c>
      <c r="C50" s="85">
        <v>138</v>
      </c>
      <c r="D50" s="85">
        <v>46</v>
      </c>
      <c r="E50" s="85">
        <v>48</v>
      </c>
    </row>
  </sheetData>
  <mergeCells count="9">
    <mergeCell ref="A33:G33"/>
    <mergeCell ref="A22:D22"/>
    <mergeCell ref="A8:D8"/>
    <mergeCell ref="A16:F16"/>
    <mergeCell ref="A1:G1"/>
    <mergeCell ref="A3:F3"/>
    <mergeCell ref="B4:G4"/>
    <mergeCell ref="B5:G5"/>
    <mergeCell ref="B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showGridLines="0" topLeftCell="A7" zoomScaleNormal="100" workbookViewId="0">
      <selection activeCell="B30" sqref="B30"/>
    </sheetView>
  </sheetViews>
  <sheetFormatPr defaultColWidth="8.6640625" defaultRowHeight="14.4"/>
  <cols>
    <col min="1" max="1" width="22.5546875" bestFit="1" customWidth="1"/>
    <col min="2" max="2" width="32.5546875" bestFit="1" customWidth="1"/>
    <col min="3" max="3" width="18.77734375" bestFit="1" customWidth="1"/>
    <col min="4" max="4" width="9.77734375" bestFit="1" customWidth="1"/>
    <col min="5" max="5" width="18" customWidth="1"/>
    <col min="6" max="6" width="28" customWidth="1"/>
  </cols>
  <sheetData>
    <row r="1" spans="1:6" ht="15.75" customHeight="1">
      <c r="A1" s="5" t="s">
        <v>138</v>
      </c>
      <c r="B1" s="5"/>
      <c r="C1" s="5"/>
      <c r="D1" s="5"/>
      <c r="E1" s="5"/>
      <c r="F1" s="5"/>
    </row>
    <row r="3" spans="1:6" ht="15" customHeight="1">
      <c r="A3" s="102" t="s">
        <v>109</v>
      </c>
      <c r="B3" s="103"/>
      <c r="C3" s="103"/>
      <c r="D3" s="103"/>
      <c r="E3" s="103"/>
      <c r="F3" s="103"/>
    </row>
    <row r="4" spans="1:6" ht="15" customHeight="1">
      <c r="A4" s="33" t="s">
        <v>139</v>
      </c>
      <c r="B4" s="3" t="s">
        <v>140</v>
      </c>
      <c r="C4" s="3"/>
      <c r="D4" s="3"/>
      <c r="E4" s="3"/>
      <c r="F4" s="3"/>
    </row>
    <row r="5" spans="1:6" ht="15" customHeight="1">
      <c r="A5" s="33" t="s">
        <v>141</v>
      </c>
      <c r="B5" s="3" t="s">
        <v>142</v>
      </c>
      <c r="C5" s="3"/>
      <c r="D5" s="3"/>
      <c r="E5" s="3"/>
      <c r="F5" s="3"/>
    </row>
    <row r="7" spans="1:6" ht="15" customHeight="1">
      <c r="A7" s="102" t="s">
        <v>143</v>
      </c>
      <c r="B7" s="103"/>
      <c r="C7" s="103"/>
      <c r="D7" s="103"/>
    </row>
    <row r="8" spans="1:6" ht="15" customHeight="1">
      <c r="A8" s="6" t="s">
        <v>64</v>
      </c>
      <c r="B8" s="6" t="s">
        <v>65</v>
      </c>
      <c r="C8" s="6" t="s">
        <v>66</v>
      </c>
      <c r="D8" s="6" t="s">
        <v>144</v>
      </c>
    </row>
    <row r="9" spans="1:6" ht="15" customHeight="1">
      <c r="A9" s="34" t="str">
        <f>'1_Raw_Data'!A57</f>
        <v>Industrial</v>
      </c>
      <c r="B9" s="35">
        <f>'1_Raw_Data'!B57</f>
        <v>240</v>
      </c>
      <c r="C9" s="35">
        <f>'1_Raw_Data'!C57</f>
        <v>110</v>
      </c>
      <c r="D9" s="31">
        <f>B9+C9</f>
        <v>350</v>
      </c>
    </row>
    <row r="10" spans="1:6" ht="15" customHeight="1">
      <c r="A10" s="36" t="str">
        <f>'1_Raw_Data'!A58</f>
        <v>Retail</v>
      </c>
      <c r="B10" s="37">
        <f>'1_Raw_Data'!B58</f>
        <v>70</v>
      </c>
      <c r="C10" s="37">
        <f>'1_Raw_Data'!C58</f>
        <v>80</v>
      </c>
      <c r="D10" s="32">
        <f>B10+C10</f>
        <v>150</v>
      </c>
    </row>
    <row r="11" spans="1:6" ht="15" customHeight="1">
      <c r="A11" s="6" t="s">
        <v>145</v>
      </c>
      <c r="B11" s="6">
        <f>SUM(B9:B10)</f>
        <v>310</v>
      </c>
      <c r="C11" s="6">
        <f>SUM(C9:C10)</f>
        <v>190</v>
      </c>
      <c r="D11" s="6">
        <f>SUM(D9:D10)</f>
        <v>500</v>
      </c>
    </row>
    <row r="13" spans="1:6" ht="15" customHeight="1">
      <c r="A13" s="102" t="s">
        <v>275</v>
      </c>
      <c r="B13" s="103"/>
      <c r="C13" s="103"/>
      <c r="D13" s="103"/>
    </row>
    <row r="14" spans="1:6" ht="15" customHeight="1">
      <c r="A14" s="6" t="s">
        <v>64</v>
      </c>
      <c r="B14" s="6" t="s">
        <v>146</v>
      </c>
      <c r="C14" s="6" t="s">
        <v>147</v>
      </c>
      <c r="D14" s="6" t="s">
        <v>144</v>
      </c>
    </row>
    <row r="15" spans="1:6" ht="15" customHeight="1">
      <c r="A15" s="27" t="s">
        <v>67</v>
      </c>
      <c r="B15" s="18">
        <f>$D9*$B$11/$D$11</f>
        <v>217</v>
      </c>
      <c r="C15" s="18">
        <f>$D9*$C$11/$D$11</f>
        <v>133</v>
      </c>
      <c r="D15" s="18">
        <f>B15+C15</f>
        <v>350</v>
      </c>
    </row>
    <row r="16" spans="1:6" ht="15" customHeight="1">
      <c r="A16" s="29" t="s">
        <v>68</v>
      </c>
      <c r="B16" s="15">
        <f>$D10*$B$11/$D$11</f>
        <v>93</v>
      </c>
      <c r="C16" s="15">
        <f>$D10*$C$11/$D$11</f>
        <v>57</v>
      </c>
      <c r="D16" s="15">
        <f>B16+C16</f>
        <v>150</v>
      </c>
    </row>
    <row r="18" spans="1:4" ht="15" customHeight="1">
      <c r="A18" s="71" t="s">
        <v>276</v>
      </c>
      <c r="B18" s="71"/>
      <c r="C18" s="71"/>
      <c r="D18" s="71"/>
    </row>
    <row r="19" spans="1:4" ht="15" customHeight="1">
      <c r="A19" s="6" t="s">
        <v>148</v>
      </c>
      <c r="B19" s="6" t="s">
        <v>149</v>
      </c>
      <c r="C19" s="6" t="s">
        <v>150</v>
      </c>
      <c r="D19" s="6" t="s">
        <v>151</v>
      </c>
    </row>
    <row r="20" spans="1:4" ht="15" customHeight="1">
      <c r="A20" s="27" t="s">
        <v>152</v>
      </c>
      <c r="B20" s="35">
        <f>B9</f>
        <v>240</v>
      </c>
      <c r="C20" s="28">
        <f>B15</f>
        <v>217</v>
      </c>
      <c r="D20" s="41">
        <f>(B20-C20)^2/C20</f>
        <v>2.4377880184331797</v>
      </c>
    </row>
    <row r="21" spans="1:4" ht="15" customHeight="1">
      <c r="A21" s="29" t="s">
        <v>153</v>
      </c>
      <c r="B21" s="37">
        <f>C9</f>
        <v>110</v>
      </c>
      <c r="C21" s="30">
        <f>C15</f>
        <v>133</v>
      </c>
      <c r="D21" s="42">
        <f>(B21-C21)^2/C21</f>
        <v>3.9774436090225564</v>
      </c>
    </row>
    <row r="22" spans="1:4" ht="15" customHeight="1">
      <c r="A22" s="27" t="s">
        <v>154</v>
      </c>
      <c r="B22" s="35">
        <f>B10</f>
        <v>70</v>
      </c>
      <c r="C22" s="28">
        <f>B16</f>
        <v>93</v>
      </c>
      <c r="D22" s="41">
        <f>(B22-C22)^2/C22</f>
        <v>5.688172043010753</v>
      </c>
    </row>
    <row r="23" spans="1:4" ht="15" customHeight="1">
      <c r="A23" s="29" t="s">
        <v>155</v>
      </c>
      <c r="B23" s="37">
        <f>C10</f>
        <v>80</v>
      </c>
      <c r="C23" s="30">
        <f>C16</f>
        <v>57</v>
      </c>
      <c r="D23" s="42">
        <f>(B23-C23)^2/C23</f>
        <v>9.2807017543859658</v>
      </c>
    </row>
    <row r="25" spans="1:4" ht="15" customHeight="1">
      <c r="A25" s="71" t="s">
        <v>156</v>
      </c>
      <c r="B25" s="71"/>
      <c r="C25" s="71"/>
    </row>
    <row r="26" spans="1:4" ht="15" customHeight="1">
      <c r="A26" s="43" t="s">
        <v>157</v>
      </c>
      <c r="B26" s="41">
        <f>SUM(D20:D23)</f>
        <v>21.384105424852454</v>
      </c>
      <c r="C26" s="9" t="s">
        <v>158</v>
      </c>
    </row>
    <row r="27" spans="1:4" ht="15" customHeight="1">
      <c r="A27" s="44" t="s">
        <v>159</v>
      </c>
      <c r="B27" s="42">
        <f>(2-1)*(2-1)</f>
        <v>1</v>
      </c>
      <c r="C27" s="12" t="s">
        <v>160</v>
      </c>
    </row>
    <row r="28" spans="1:4" ht="15" customHeight="1">
      <c r="A28" s="43" t="s">
        <v>161</v>
      </c>
      <c r="B28" s="45">
        <v>3.8410000000000002</v>
      </c>
      <c r="C28" s="9" t="s">
        <v>162</v>
      </c>
    </row>
    <row r="29" spans="1:4" ht="15" customHeight="1">
      <c r="A29" s="44" t="s">
        <v>163</v>
      </c>
      <c r="B29" s="42">
        <f>CHIDIST(B26, B27)</f>
        <v>3.7587438027644328E-6</v>
      </c>
      <c r="C29" s="12" t="s">
        <v>164</v>
      </c>
    </row>
    <row r="30" spans="1:4" ht="15" customHeight="1">
      <c r="A30" s="43" t="s">
        <v>165</v>
      </c>
      <c r="B30" s="31" t="str">
        <f>IF(B26 &gt; 3.841, "REJECT H0 - Significant association", "FAIL TO REJECT H0")</f>
        <v>REJECT H0 - Significant association</v>
      </c>
      <c r="C30" s="9" t="s">
        <v>166</v>
      </c>
    </row>
  </sheetData>
  <mergeCells count="8">
    <mergeCell ref="A18:D18"/>
    <mergeCell ref="A25:C25"/>
    <mergeCell ref="A13:D13"/>
    <mergeCell ref="A7:D7"/>
    <mergeCell ref="A1:F1"/>
    <mergeCell ref="B4:F4"/>
    <mergeCell ref="B5:F5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showGridLines="0" zoomScaleNormal="100" workbookViewId="0">
      <selection activeCell="B13" sqref="B13"/>
    </sheetView>
  </sheetViews>
  <sheetFormatPr defaultColWidth="8.6640625" defaultRowHeight="14.4"/>
  <cols>
    <col min="1" max="1" width="28.21875" bestFit="1" customWidth="1"/>
    <col min="2" max="2" width="11.44140625" bestFit="1" customWidth="1"/>
    <col min="3" max="3" width="35.5546875" bestFit="1" customWidth="1"/>
    <col min="4" max="4" width="30" customWidth="1"/>
  </cols>
  <sheetData>
    <row r="1" spans="1:4" ht="15.75" customHeight="1">
      <c r="A1" s="5" t="s">
        <v>167</v>
      </c>
      <c r="B1" s="5"/>
      <c r="C1" s="5"/>
      <c r="D1" s="5"/>
    </row>
    <row r="3" spans="1:4" ht="15" customHeight="1">
      <c r="A3" s="4" t="s">
        <v>168</v>
      </c>
      <c r="B3" s="4"/>
      <c r="C3" s="4"/>
    </row>
    <row r="4" spans="1:4" ht="15" customHeight="1">
      <c r="A4" s="6" t="s">
        <v>169</v>
      </c>
      <c r="B4" s="6" t="s">
        <v>89</v>
      </c>
      <c r="C4" s="6" t="s">
        <v>170</v>
      </c>
    </row>
    <row r="5" spans="1:4" ht="15" customHeight="1">
      <c r="A5" s="27" t="s">
        <v>171</v>
      </c>
      <c r="B5" s="28">
        <f>AVERAGE('1_Raw_Data'!B26:B37)</f>
        <v>39.583333333333329</v>
      </c>
      <c r="C5" s="26" t="s">
        <v>172</v>
      </c>
    </row>
    <row r="6" spans="1:4" ht="15" customHeight="1">
      <c r="A6" s="29" t="s">
        <v>173</v>
      </c>
      <c r="B6" s="30">
        <f>STDEV('1_Raw_Data'!B26:B37)</f>
        <v>2.1169589394967381</v>
      </c>
      <c r="C6" s="46" t="s">
        <v>174</v>
      </c>
    </row>
    <row r="7" spans="1:4" ht="15" customHeight="1">
      <c r="A7" s="27" t="s">
        <v>175</v>
      </c>
      <c r="B7" s="47">
        <v>43</v>
      </c>
      <c r="C7" s="9" t="s">
        <v>176</v>
      </c>
    </row>
    <row r="8" spans="1:4">
      <c r="A8" s="88"/>
    </row>
    <row r="9" spans="1:4" ht="15" customHeight="1">
      <c r="A9" s="4" t="s">
        <v>177</v>
      </c>
      <c r="B9" s="4"/>
      <c r="C9" s="4"/>
    </row>
    <row r="10" spans="1:4" ht="15" customHeight="1">
      <c r="A10" s="6" t="s">
        <v>178</v>
      </c>
      <c r="B10" s="6" t="s">
        <v>179</v>
      </c>
      <c r="C10" s="6" t="s">
        <v>180</v>
      </c>
    </row>
    <row r="11" spans="1:4" ht="21.75" customHeight="1">
      <c r="A11" s="27" t="s">
        <v>181</v>
      </c>
      <c r="B11" s="18">
        <f>(B7-B5)/B6</f>
        <v>1.6139503714129246</v>
      </c>
      <c r="C11" s="9" t="s">
        <v>182</v>
      </c>
    </row>
    <row r="12" spans="1:4" ht="21.75" customHeight="1">
      <c r="A12" s="29" t="s">
        <v>183</v>
      </c>
      <c r="B12" s="42">
        <f>NORMDIST(B7,B5,B6,TRUE())</f>
        <v>0.94673090426188999</v>
      </c>
      <c r="C12" s="12" t="s">
        <v>184</v>
      </c>
    </row>
    <row r="13" spans="1:4" ht="21.75" customHeight="1">
      <c r="A13" s="27" t="s">
        <v>185</v>
      </c>
      <c r="B13" s="41">
        <f>1-NORMDIST(B7,B5,B6,TRUE())</f>
        <v>5.3269095738110006E-2</v>
      </c>
      <c r="C13" s="9" t="s">
        <v>186</v>
      </c>
    </row>
    <row r="14" spans="1:4" ht="21.75" customHeight="1">
      <c r="A14" s="29" t="s">
        <v>187</v>
      </c>
      <c r="B14" s="42">
        <f>NORMDIST(B7,B5,B6,FALSE())</f>
        <v>5.1234762089688635E-2</v>
      </c>
      <c r="C14" s="12" t="s">
        <v>188</v>
      </c>
    </row>
    <row r="15" spans="1:4" ht="21.75" customHeight="1">
      <c r="A15" s="27" t="s">
        <v>189</v>
      </c>
      <c r="B15" s="41">
        <f>NORMDIST(B5+B6,B5,B6,TRUE())-NORMDIST(B5-B6,B5,B6,TRUE())</f>
        <v>0.68268949213708652</v>
      </c>
      <c r="C15" s="9" t="s">
        <v>190</v>
      </c>
    </row>
    <row r="16" spans="1:4" ht="21.75" customHeight="1">
      <c r="A16" s="29" t="s">
        <v>191</v>
      </c>
      <c r="B16" s="15">
        <f>NORMINV(0.95,B5,B6)</f>
        <v>43.065420923071876</v>
      </c>
      <c r="C16" s="12" t="s">
        <v>192</v>
      </c>
    </row>
    <row r="18" spans="1:3" ht="15" customHeight="1">
      <c r="A18" s="4" t="s">
        <v>193</v>
      </c>
      <c r="B18" s="4"/>
      <c r="C18" s="4"/>
    </row>
    <row r="19" spans="1:3" ht="15" customHeight="1">
      <c r="A19" s="6" t="s">
        <v>194</v>
      </c>
      <c r="B19" s="6" t="s">
        <v>195</v>
      </c>
      <c r="C19" s="6" t="s">
        <v>196</v>
      </c>
    </row>
    <row r="20" spans="1:3" ht="15" customHeight="1">
      <c r="A20" s="7">
        <v>35</v>
      </c>
      <c r="B20" s="13">
        <f t="shared" ref="B20:B29" si="0">NORMDIST(A20,$B$5,$B$6,TRUE())</f>
        <v>1.5191722372322115E-2</v>
      </c>
      <c r="C20" s="13">
        <f t="shared" ref="C20:C29" si="1">1-NORMDIST(A20,$B$5,$B$6,TRUE())</f>
        <v>0.98480827762767786</v>
      </c>
    </row>
    <row r="21" spans="1:3" ht="15" customHeight="1">
      <c r="A21" s="10">
        <v>37</v>
      </c>
      <c r="B21" s="11">
        <f t="shared" si="0"/>
        <v>0.11117483850204939</v>
      </c>
      <c r="C21" s="11">
        <f t="shared" si="1"/>
        <v>0.88882516149795066</v>
      </c>
    </row>
    <row r="22" spans="1:3" ht="15" customHeight="1">
      <c r="A22" s="7">
        <v>38</v>
      </c>
      <c r="B22" s="13">
        <f t="shared" si="0"/>
        <v>0.22725172713078262</v>
      </c>
      <c r="C22" s="13">
        <f t="shared" si="1"/>
        <v>0.77274827286921743</v>
      </c>
    </row>
    <row r="23" spans="1:3" ht="15" customHeight="1">
      <c r="A23" s="10">
        <v>39</v>
      </c>
      <c r="B23" s="11">
        <f t="shared" si="0"/>
        <v>0.39144589760048476</v>
      </c>
      <c r="C23" s="11">
        <f t="shared" si="1"/>
        <v>0.60855410239951524</v>
      </c>
    </row>
    <row r="24" spans="1:3" ht="15" customHeight="1">
      <c r="A24" s="7">
        <v>40</v>
      </c>
      <c r="B24" s="13">
        <f t="shared" si="0"/>
        <v>0.5780170586440071</v>
      </c>
      <c r="C24" s="13">
        <f t="shared" si="1"/>
        <v>0.4219829413559929</v>
      </c>
    </row>
    <row r="25" spans="1:3" ht="15" customHeight="1">
      <c r="A25" s="10">
        <v>41</v>
      </c>
      <c r="B25" s="11">
        <f t="shared" si="0"/>
        <v>0.74831570707141482</v>
      </c>
      <c r="C25" s="11">
        <f t="shared" si="1"/>
        <v>0.25168429292858518</v>
      </c>
    </row>
    <row r="26" spans="1:3" ht="15" customHeight="1">
      <c r="A26" s="7">
        <v>42</v>
      </c>
      <c r="B26" s="13">
        <f t="shared" si="0"/>
        <v>0.87318456754583496</v>
      </c>
      <c r="C26" s="13">
        <f t="shared" si="1"/>
        <v>0.12681543245416504</v>
      </c>
    </row>
    <row r="27" spans="1:3" ht="15" customHeight="1">
      <c r="A27" s="48">
        <v>43</v>
      </c>
      <c r="B27" s="49">
        <f t="shared" si="0"/>
        <v>0.94673090426188999</v>
      </c>
      <c r="C27" s="49">
        <f t="shared" si="1"/>
        <v>5.3269095738110006E-2</v>
      </c>
    </row>
    <row r="28" spans="1:3" ht="15" customHeight="1">
      <c r="A28" s="7">
        <v>44</v>
      </c>
      <c r="B28" s="13">
        <f t="shared" si="0"/>
        <v>0.98152545253702972</v>
      </c>
      <c r="C28" s="13">
        <f t="shared" si="1"/>
        <v>1.8474547462970281E-2</v>
      </c>
    </row>
    <row r="29" spans="1:3" ht="15" customHeight="1">
      <c r="A29" s="10">
        <v>45</v>
      </c>
      <c r="B29" s="11">
        <f t="shared" si="0"/>
        <v>0.9947468090511814</v>
      </c>
      <c r="C29" s="11">
        <f t="shared" si="1"/>
        <v>5.2531909488185979E-3</v>
      </c>
    </row>
  </sheetData>
  <mergeCells count="4">
    <mergeCell ref="A1:D1"/>
    <mergeCell ref="A3:C3"/>
    <mergeCell ref="A9:C9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9"/>
  <sheetViews>
    <sheetView showGridLines="0" zoomScaleNormal="100" workbookViewId="0">
      <selection activeCell="H27" sqref="H27"/>
    </sheetView>
  </sheetViews>
  <sheetFormatPr defaultColWidth="8.6640625" defaultRowHeight="14.4"/>
  <cols>
    <col min="1" max="1" width="10.44140625" bestFit="1" customWidth="1"/>
    <col min="2" max="2" width="12.21875" bestFit="1" customWidth="1"/>
    <col min="3" max="3" width="20.77734375" bestFit="1" customWidth="1"/>
    <col min="4" max="4" width="17.88671875" bestFit="1" customWidth="1"/>
    <col min="5" max="5" width="13.109375" customWidth="1"/>
    <col min="6" max="6" width="12.6640625" bestFit="1" customWidth="1"/>
  </cols>
  <sheetData>
    <row r="1" spans="1:6" ht="15.75" customHeight="1">
      <c r="A1" s="5" t="s">
        <v>197</v>
      </c>
      <c r="B1" s="5"/>
      <c r="C1" s="5"/>
      <c r="D1" s="5"/>
      <c r="E1" s="5"/>
      <c r="F1" s="5"/>
    </row>
    <row r="3" spans="1:6" ht="15" customHeight="1">
      <c r="A3" s="102" t="s">
        <v>198</v>
      </c>
      <c r="B3" s="103"/>
      <c r="C3" s="103"/>
      <c r="D3" s="103"/>
      <c r="E3" s="103"/>
      <c r="F3" s="103"/>
    </row>
    <row r="4" spans="1:6" ht="15" customHeight="1">
      <c r="A4" s="6" t="s">
        <v>1</v>
      </c>
      <c r="B4" s="6" t="s">
        <v>2</v>
      </c>
      <c r="C4" s="6" t="s">
        <v>199</v>
      </c>
      <c r="D4" s="6" t="s">
        <v>200</v>
      </c>
      <c r="E4" s="6" t="s">
        <v>201</v>
      </c>
      <c r="F4" s="6" t="s">
        <v>202</v>
      </c>
    </row>
    <row r="5" spans="1:6" ht="15" customHeight="1">
      <c r="A5" s="7" t="s">
        <v>5</v>
      </c>
      <c r="B5" s="7">
        <v>339</v>
      </c>
      <c r="C5" s="7">
        <v>1</v>
      </c>
      <c r="D5" s="24">
        <f>FORECAST(C5,$B$5:$B$7,$C$5:$C$7)</f>
        <v>347.5</v>
      </c>
      <c r="E5" s="24">
        <f>D5*0.9</f>
        <v>312.75</v>
      </c>
      <c r="F5" s="24">
        <f>D5*1.1</f>
        <v>382.25000000000006</v>
      </c>
    </row>
    <row r="6" spans="1:6" ht="15" customHeight="1">
      <c r="A6" s="10" t="s">
        <v>8</v>
      </c>
      <c r="B6" s="10">
        <v>420</v>
      </c>
      <c r="C6" s="10">
        <v>2</v>
      </c>
      <c r="D6" s="25">
        <f>FORECAST(C6,$B$5:$B$7,$C$5:$C$7)</f>
        <v>403</v>
      </c>
      <c r="E6" s="25">
        <f>D6*0.9</f>
        <v>362.7</v>
      </c>
      <c r="F6" s="25">
        <f>D6*1.1</f>
        <v>443.3</v>
      </c>
    </row>
    <row r="7" spans="1:6" ht="15" customHeight="1">
      <c r="A7" s="7" t="s">
        <v>10</v>
      </c>
      <c r="B7" s="7">
        <v>450</v>
      </c>
      <c r="C7" s="7">
        <v>3</v>
      </c>
      <c r="D7" s="24">
        <f>FORECAST(C7,$B$5:$B$7,$C$5:$C$7)</f>
        <v>458.5</v>
      </c>
      <c r="E7" s="24">
        <f>D7*0.9</f>
        <v>412.65000000000003</v>
      </c>
      <c r="F7" s="24">
        <f>D7*1.1</f>
        <v>504.35</v>
      </c>
    </row>
    <row r="8" spans="1:6" ht="15" customHeight="1">
      <c r="A8" s="50" t="s">
        <v>203</v>
      </c>
      <c r="B8" s="51" t="s">
        <v>33</v>
      </c>
      <c r="C8" s="10">
        <v>4</v>
      </c>
      <c r="D8" s="25">
        <f>FORECAST(C8,$B$5:$B$7,$C$5:$C$7)</f>
        <v>514</v>
      </c>
      <c r="E8" s="25">
        <f>D8*0.9</f>
        <v>462.6</v>
      </c>
      <c r="F8" s="25">
        <f>D8*1.1</f>
        <v>565.40000000000009</v>
      </c>
    </row>
    <row r="9" spans="1:6" ht="15" customHeight="1">
      <c r="A9" s="52" t="s">
        <v>204</v>
      </c>
      <c r="B9" s="53" t="s">
        <v>33</v>
      </c>
      <c r="C9" s="7">
        <v>5</v>
      </c>
      <c r="D9" s="24">
        <f>FORECAST(C9,$B$5:$B$7,$C$5:$C$7)</f>
        <v>569.5</v>
      </c>
      <c r="E9" s="24">
        <f>D9*0.9</f>
        <v>512.55000000000007</v>
      </c>
      <c r="F9" s="24">
        <f>D9*1.1</f>
        <v>626.45000000000005</v>
      </c>
    </row>
    <row r="11" spans="1:6" ht="15" customHeight="1">
      <c r="A11" s="102" t="s">
        <v>277</v>
      </c>
      <c r="B11" s="103"/>
      <c r="C11" s="103"/>
      <c r="D11" s="103"/>
      <c r="E11" s="103"/>
      <c r="F11" s="110"/>
    </row>
    <row r="12" spans="1:6">
      <c r="A12" s="6" t="s">
        <v>36</v>
      </c>
      <c r="B12" s="6" t="s">
        <v>205</v>
      </c>
      <c r="C12" s="6" t="s">
        <v>206</v>
      </c>
      <c r="D12" s="6" t="s">
        <v>207</v>
      </c>
      <c r="E12" s="6" t="s">
        <v>91</v>
      </c>
    </row>
    <row r="13" spans="1:6" ht="15" customHeight="1">
      <c r="A13" s="7" t="s">
        <v>208</v>
      </c>
      <c r="B13" s="7">
        <v>1</v>
      </c>
      <c r="C13" s="28">
        <f>'1_Raw_Data'!B26</f>
        <v>38.6</v>
      </c>
      <c r="D13" s="31" t="s">
        <v>209</v>
      </c>
      <c r="E13" s="9"/>
    </row>
    <row r="14" spans="1:6" ht="23.25" customHeight="1">
      <c r="A14" s="10" t="s">
        <v>210</v>
      </c>
      <c r="B14" s="10">
        <v>2</v>
      </c>
      <c r="C14" s="30">
        <f>'1_Raw_Data'!B27</f>
        <v>36.4</v>
      </c>
      <c r="D14" s="32" t="s">
        <v>209</v>
      </c>
      <c r="E14" s="12"/>
    </row>
    <row r="15" spans="1:6" ht="15" customHeight="1">
      <c r="A15" s="7" t="s">
        <v>211</v>
      </c>
      <c r="B15" s="7">
        <v>3</v>
      </c>
      <c r="C15" s="28">
        <f>'1_Raw_Data'!B28</f>
        <v>40.1</v>
      </c>
      <c r="D15" s="31" t="s">
        <v>209</v>
      </c>
      <c r="E15" s="9"/>
    </row>
    <row r="16" spans="1:6" ht="15" customHeight="1">
      <c r="A16" s="10" t="s">
        <v>212</v>
      </c>
      <c r="B16" s="10">
        <v>4</v>
      </c>
      <c r="C16" s="30">
        <f>'1_Raw_Data'!B29</f>
        <v>35.9</v>
      </c>
      <c r="D16" s="32" t="s">
        <v>209</v>
      </c>
      <c r="E16" s="12"/>
    </row>
    <row r="17" spans="1:5" ht="15" customHeight="1">
      <c r="A17" s="7" t="s">
        <v>213</v>
      </c>
      <c r="B17" s="7">
        <v>5</v>
      </c>
      <c r="C17" s="28">
        <f>'1_Raw_Data'!B30</f>
        <v>41.8</v>
      </c>
      <c r="D17" s="31" t="s">
        <v>209</v>
      </c>
      <c r="E17" s="9"/>
    </row>
    <row r="18" spans="1:5" ht="15" customHeight="1">
      <c r="A18" s="10" t="s">
        <v>214</v>
      </c>
      <c r="B18" s="10">
        <v>6</v>
      </c>
      <c r="C18" s="30">
        <f>'1_Raw_Data'!B31</f>
        <v>39.700000000000003</v>
      </c>
      <c r="D18" s="32" t="s">
        <v>209</v>
      </c>
      <c r="E18" s="12"/>
    </row>
    <row r="19" spans="1:5" ht="15" customHeight="1">
      <c r="A19" s="7" t="s">
        <v>215</v>
      </c>
      <c r="B19" s="7">
        <v>7</v>
      </c>
      <c r="C19" s="28">
        <f>'1_Raw_Data'!B32</f>
        <v>37.5</v>
      </c>
      <c r="D19" s="31" t="s">
        <v>209</v>
      </c>
      <c r="E19" s="9"/>
    </row>
    <row r="20" spans="1:5" ht="15" customHeight="1">
      <c r="A20" s="10" t="s">
        <v>216</v>
      </c>
      <c r="B20" s="10">
        <v>8</v>
      </c>
      <c r="C20" s="30">
        <f>'1_Raw_Data'!B33</f>
        <v>42.2</v>
      </c>
      <c r="D20" s="32" t="s">
        <v>209</v>
      </c>
      <c r="E20" s="12"/>
    </row>
    <row r="21" spans="1:5" ht="15" customHeight="1">
      <c r="A21" s="7" t="s">
        <v>217</v>
      </c>
      <c r="B21" s="7">
        <v>9</v>
      </c>
      <c r="C21" s="28">
        <f>'1_Raw_Data'!B34</f>
        <v>39.4</v>
      </c>
      <c r="D21" s="31" t="s">
        <v>209</v>
      </c>
      <c r="E21" s="9"/>
    </row>
    <row r="22" spans="1:5" ht="15" customHeight="1">
      <c r="A22" s="10" t="s">
        <v>218</v>
      </c>
      <c r="B22" s="10">
        <v>10</v>
      </c>
      <c r="C22" s="30">
        <f>'1_Raw_Data'!B35</f>
        <v>41</v>
      </c>
      <c r="D22" s="32" t="s">
        <v>209</v>
      </c>
      <c r="E22" s="12"/>
    </row>
    <row r="23" spans="1:5" ht="15" customHeight="1">
      <c r="A23" s="7" t="s">
        <v>219</v>
      </c>
      <c r="B23" s="7">
        <v>11</v>
      </c>
      <c r="C23" s="28">
        <f>'1_Raw_Data'!B36</f>
        <v>40.5</v>
      </c>
      <c r="D23" s="31" t="s">
        <v>209</v>
      </c>
      <c r="E23" s="9"/>
    </row>
    <row r="24" spans="1:5">
      <c r="A24" s="10" t="s">
        <v>220</v>
      </c>
      <c r="B24" s="10">
        <v>12</v>
      </c>
      <c r="C24" s="30">
        <f>'1_Raw_Data'!B37</f>
        <v>41.9</v>
      </c>
      <c r="D24" s="32" t="s">
        <v>209</v>
      </c>
      <c r="E24" s="12"/>
    </row>
    <row r="25" spans="1:5" ht="22.8">
      <c r="A25" s="54" t="s">
        <v>221</v>
      </c>
      <c r="B25" s="55">
        <v>13</v>
      </c>
      <c r="C25" s="56">
        <f>FORECAST(B25,$C$13:$C$24,$B$13:$B$24)</f>
        <v>41.765151515151516</v>
      </c>
      <c r="D25" s="57" t="s">
        <v>222</v>
      </c>
      <c r="E25" s="58" t="s">
        <v>223</v>
      </c>
    </row>
    <row r="26" spans="1:5" ht="22.8">
      <c r="A26" s="54" t="s">
        <v>224</v>
      </c>
      <c r="B26" s="55">
        <v>14</v>
      </c>
      <c r="C26" s="56">
        <f>FORECAST(B26,$C$13:$C$24,$B$13:$B$24)</f>
        <v>42.100815850815849</v>
      </c>
      <c r="D26" s="57" t="s">
        <v>222</v>
      </c>
      <c r="E26" s="58" t="s">
        <v>225</v>
      </c>
    </row>
    <row r="27" spans="1:5" ht="23.25" customHeight="1">
      <c r="A27" s="54" t="s">
        <v>226</v>
      </c>
      <c r="B27" s="55">
        <v>15</v>
      </c>
      <c r="C27" s="56">
        <f>FORECAST(B27,$C$13:$C$24,$B$13:$B$24)</f>
        <v>42.436480186480182</v>
      </c>
      <c r="D27" s="57" t="s">
        <v>222</v>
      </c>
      <c r="E27" s="58" t="s">
        <v>227</v>
      </c>
    </row>
    <row r="28" spans="1:5" ht="23.25" customHeight="1"/>
    <row r="29" spans="1:5" ht="23.25" customHeight="1"/>
  </sheetData>
  <mergeCells count="3">
    <mergeCell ref="A11:E11"/>
    <mergeCell ref="A1:F1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"/>
  <sheetViews>
    <sheetView showGridLines="0" tabSelected="1" topLeftCell="A19" zoomScaleNormal="100" workbookViewId="0">
      <selection activeCell="D31" sqref="D31"/>
    </sheetView>
  </sheetViews>
  <sheetFormatPr defaultColWidth="8.6640625" defaultRowHeight="14.4"/>
  <cols>
    <col min="1" max="1" width="9.77734375" bestFit="1" customWidth="1"/>
    <col min="2" max="2" width="13.88671875" bestFit="1" customWidth="1"/>
    <col min="3" max="3" width="16.6640625" bestFit="1" customWidth="1"/>
    <col min="4" max="4" width="12.21875" bestFit="1" customWidth="1"/>
    <col min="5" max="5" width="16" customWidth="1"/>
    <col min="6" max="6" width="18" customWidth="1"/>
    <col min="7" max="7" width="16" customWidth="1"/>
  </cols>
  <sheetData>
    <row r="1" spans="1:7" ht="15.75" customHeight="1">
      <c r="A1" s="5" t="s">
        <v>228</v>
      </c>
      <c r="B1" s="5"/>
      <c r="C1" s="5"/>
      <c r="D1" s="5"/>
      <c r="E1" s="5"/>
      <c r="F1" s="5"/>
      <c r="G1" s="5"/>
    </row>
    <row r="2" spans="1:7" ht="15" customHeight="1">
      <c r="A2" s="1" t="s">
        <v>229</v>
      </c>
      <c r="B2" s="1"/>
      <c r="C2" s="1"/>
      <c r="D2" s="1"/>
      <c r="E2" s="1"/>
      <c r="F2" s="1"/>
      <c r="G2" s="1"/>
    </row>
    <row r="3" spans="1:7" ht="15" customHeight="1">
      <c r="A3" s="6" t="s">
        <v>230</v>
      </c>
      <c r="B3" s="6" t="s">
        <v>18</v>
      </c>
      <c r="C3" s="6" t="s">
        <v>15</v>
      </c>
      <c r="D3" s="6" t="s">
        <v>2</v>
      </c>
      <c r="E3" s="6" t="s">
        <v>13</v>
      </c>
      <c r="F3" s="6" t="s">
        <v>12</v>
      </c>
      <c r="G3" s="6" t="s">
        <v>231</v>
      </c>
    </row>
    <row r="4" spans="1:7" ht="15" customHeight="1">
      <c r="A4" s="7" t="s">
        <v>232</v>
      </c>
      <c r="B4" s="14" t="s">
        <v>20</v>
      </c>
      <c r="C4" s="14" t="s">
        <v>19</v>
      </c>
      <c r="D4" s="7">
        <v>180</v>
      </c>
      <c r="E4" s="7">
        <v>6109</v>
      </c>
      <c r="F4" s="47">
        <v>285.07</v>
      </c>
      <c r="G4" s="14" t="s">
        <v>233</v>
      </c>
    </row>
    <row r="5" spans="1:7" ht="15" customHeight="1">
      <c r="A5" s="10" t="s">
        <v>232</v>
      </c>
      <c r="B5" s="17" t="s">
        <v>22</v>
      </c>
      <c r="C5" s="17" t="s">
        <v>21</v>
      </c>
      <c r="D5" s="10">
        <v>59</v>
      </c>
      <c r="E5" s="10">
        <v>1358</v>
      </c>
      <c r="F5" s="59">
        <v>89.14</v>
      </c>
      <c r="G5" s="17" t="s">
        <v>234</v>
      </c>
    </row>
    <row r="6" spans="1:7" ht="15" customHeight="1">
      <c r="A6" s="7" t="s">
        <v>232</v>
      </c>
      <c r="B6" s="14" t="s">
        <v>22</v>
      </c>
      <c r="C6" s="14" t="s">
        <v>23</v>
      </c>
      <c r="D6" s="7">
        <v>43</v>
      </c>
      <c r="E6" s="7">
        <v>990</v>
      </c>
      <c r="F6" s="47">
        <v>64.959999999999994</v>
      </c>
      <c r="G6" s="14" t="s">
        <v>234</v>
      </c>
    </row>
    <row r="7" spans="1:7" ht="15" customHeight="1">
      <c r="A7" s="10" t="s">
        <v>232</v>
      </c>
      <c r="B7" s="17" t="s">
        <v>22</v>
      </c>
      <c r="C7" s="17" t="s">
        <v>24</v>
      </c>
      <c r="D7" s="10">
        <v>37</v>
      </c>
      <c r="E7" s="10">
        <v>852</v>
      </c>
      <c r="F7" s="59">
        <v>55.9</v>
      </c>
      <c r="G7" s="17" t="s">
        <v>235</v>
      </c>
    </row>
    <row r="8" spans="1:7" ht="15" customHeight="1">
      <c r="A8" s="7" t="s">
        <v>232</v>
      </c>
      <c r="B8" s="14" t="s">
        <v>20</v>
      </c>
      <c r="C8" s="14" t="s">
        <v>25</v>
      </c>
      <c r="D8" s="7">
        <v>26</v>
      </c>
      <c r="E8" s="7">
        <v>882</v>
      </c>
      <c r="F8" s="47">
        <v>41.18</v>
      </c>
      <c r="G8" s="14" t="s">
        <v>236</v>
      </c>
    </row>
    <row r="9" spans="1:7" ht="15" customHeight="1">
      <c r="A9" s="10" t="s">
        <v>232</v>
      </c>
      <c r="B9" s="17" t="s">
        <v>27</v>
      </c>
      <c r="C9" s="17" t="s">
        <v>26</v>
      </c>
      <c r="D9" s="10">
        <v>12</v>
      </c>
      <c r="E9" s="10">
        <v>843</v>
      </c>
      <c r="F9" s="59">
        <v>58.38</v>
      </c>
      <c r="G9" s="17" t="s">
        <v>237</v>
      </c>
    </row>
    <row r="10" spans="1:7" ht="15" customHeight="1">
      <c r="A10" s="7" t="s">
        <v>232</v>
      </c>
      <c r="B10" s="14" t="s">
        <v>27</v>
      </c>
      <c r="C10" s="14" t="s">
        <v>28</v>
      </c>
      <c r="D10" s="7">
        <v>13</v>
      </c>
      <c r="E10" s="7">
        <v>914</v>
      </c>
      <c r="F10" s="47">
        <v>63.24</v>
      </c>
      <c r="G10" s="14" t="s">
        <v>238</v>
      </c>
    </row>
    <row r="11" spans="1:7" ht="15" customHeight="1">
      <c r="A11" s="10" t="s">
        <v>232</v>
      </c>
      <c r="B11" s="17" t="s">
        <v>27</v>
      </c>
      <c r="C11" s="17" t="s">
        <v>29</v>
      </c>
      <c r="D11" s="10">
        <v>12</v>
      </c>
      <c r="E11" s="10">
        <v>843</v>
      </c>
      <c r="F11" s="59">
        <v>58.38</v>
      </c>
      <c r="G11" s="17" t="s">
        <v>238</v>
      </c>
    </row>
    <row r="12" spans="1:7" ht="15" customHeight="1">
      <c r="A12" s="7" t="s">
        <v>232</v>
      </c>
      <c r="B12" s="14" t="s">
        <v>20</v>
      </c>
      <c r="C12" s="14" t="s">
        <v>30</v>
      </c>
      <c r="D12" s="7">
        <v>10</v>
      </c>
      <c r="E12" s="7">
        <v>339</v>
      </c>
      <c r="F12" s="47">
        <v>15.84</v>
      </c>
      <c r="G12" s="14" t="s">
        <v>234</v>
      </c>
    </row>
    <row r="13" spans="1:7" ht="15" customHeight="1">
      <c r="A13" s="10" t="s">
        <v>232</v>
      </c>
      <c r="B13" s="17" t="s">
        <v>20</v>
      </c>
      <c r="C13" s="17" t="s">
        <v>31</v>
      </c>
      <c r="D13" s="10">
        <v>5</v>
      </c>
      <c r="E13" s="10">
        <v>170</v>
      </c>
      <c r="F13" s="59">
        <v>7.92</v>
      </c>
      <c r="G13" s="17" t="s">
        <v>239</v>
      </c>
    </row>
    <row r="14" spans="1:7" ht="15" customHeight="1">
      <c r="A14" s="118" t="s">
        <v>232</v>
      </c>
      <c r="B14" s="119" t="s">
        <v>54</v>
      </c>
      <c r="C14" s="119" t="s">
        <v>303</v>
      </c>
      <c r="D14" s="118">
        <v>50</v>
      </c>
      <c r="E14" s="118">
        <v>2200</v>
      </c>
      <c r="F14" s="120">
        <v>120</v>
      </c>
      <c r="G14" s="119" t="s">
        <v>233</v>
      </c>
    </row>
    <row r="15" spans="1:7" ht="15" customHeight="1">
      <c r="A15" s="7" t="s">
        <v>240</v>
      </c>
      <c r="B15" s="14" t="s">
        <v>20</v>
      </c>
      <c r="C15" s="14" t="s">
        <v>19</v>
      </c>
      <c r="D15" s="7">
        <v>195</v>
      </c>
      <c r="E15" s="7">
        <v>7500</v>
      </c>
      <c r="F15" s="7">
        <v>378</v>
      </c>
      <c r="G15" s="14" t="s">
        <v>233</v>
      </c>
    </row>
    <row r="16" spans="1:7" ht="15" customHeight="1">
      <c r="A16" s="10" t="s">
        <v>240</v>
      </c>
      <c r="B16" s="17" t="s">
        <v>22</v>
      </c>
      <c r="C16" s="17" t="s">
        <v>21</v>
      </c>
      <c r="D16" s="10">
        <v>64</v>
      </c>
      <c r="E16" s="10">
        <v>1600</v>
      </c>
      <c r="F16" s="10">
        <v>115</v>
      </c>
      <c r="G16" s="17" t="s">
        <v>234</v>
      </c>
    </row>
    <row r="17" spans="1:7" ht="15" customHeight="1">
      <c r="A17" s="7" t="s">
        <v>240</v>
      </c>
      <c r="B17" s="14" t="s">
        <v>22</v>
      </c>
      <c r="C17" s="14" t="s">
        <v>23</v>
      </c>
      <c r="D17" s="7">
        <v>47</v>
      </c>
      <c r="E17" s="7">
        <v>800</v>
      </c>
      <c r="F17" s="7">
        <v>82</v>
      </c>
      <c r="G17" s="14" t="s">
        <v>234</v>
      </c>
    </row>
    <row r="18" spans="1:7" ht="15" customHeight="1">
      <c r="A18" s="10" t="s">
        <v>240</v>
      </c>
      <c r="B18" s="17" t="s">
        <v>22</v>
      </c>
      <c r="C18" s="17" t="s">
        <v>24</v>
      </c>
      <c r="D18" s="10">
        <v>40</v>
      </c>
      <c r="E18" s="10">
        <v>800</v>
      </c>
      <c r="F18" s="10">
        <v>72</v>
      </c>
      <c r="G18" s="17" t="s">
        <v>235</v>
      </c>
    </row>
    <row r="19" spans="1:7" ht="15" customHeight="1">
      <c r="A19" s="7" t="s">
        <v>240</v>
      </c>
      <c r="B19" s="14" t="s">
        <v>20</v>
      </c>
      <c r="C19" s="14" t="s">
        <v>25</v>
      </c>
      <c r="D19" s="7">
        <v>28</v>
      </c>
      <c r="E19" s="7">
        <v>2000</v>
      </c>
      <c r="F19" s="7">
        <v>50</v>
      </c>
      <c r="G19" s="14" t="s">
        <v>236</v>
      </c>
    </row>
    <row r="20" spans="1:7" ht="15" customHeight="1">
      <c r="A20" s="10" t="s">
        <v>240</v>
      </c>
      <c r="B20" s="17" t="s">
        <v>27</v>
      </c>
      <c r="C20" s="17" t="s">
        <v>26</v>
      </c>
      <c r="D20" s="10">
        <v>14</v>
      </c>
      <c r="E20" s="10">
        <v>700</v>
      </c>
      <c r="F20" s="10">
        <v>40</v>
      </c>
      <c r="G20" s="17" t="s">
        <v>237</v>
      </c>
    </row>
    <row r="21" spans="1:7" ht="15" customHeight="1">
      <c r="A21" s="7" t="s">
        <v>240</v>
      </c>
      <c r="B21" s="14" t="s">
        <v>27</v>
      </c>
      <c r="C21" s="14" t="s">
        <v>28</v>
      </c>
      <c r="D21" s="7">
        <v>14</v>
      </c>
      <c r="E21" s="7">
        <v>800</v>
      </c>
      <c r="F21" s="7">
        <v>40</v>
      </c>
      <c r="G21" s="14" t="s">
        <v>238</v>
      </c>
    </row>
    <row r="22" spans="1:7" ht="15" customHeight="1">
      <c r="A22" s="10" t="s">
        <v>240</v>
      </c>
      <c r="B22" s="17" t="s">
        <v>27</v>
      </c>
      <c r="C22" s="17" t="s">
        <v>29</v>
      </c>
      <c r="D22" s="10">
        <v>13</v>
      </c>
      <c r="E22" s="10">
        <v>600</v>
      </c>
      <c r="F22" s="10">
        <v>37</v>
      </c>
      <c r="G22" s="17" t="s">
        <v>238</v>
      </c>
    </row>
    <row r="23" spans="1:7" ht="15" customHeight="1">
      <c r="A23" s="7" t="s">
        <v>240</v>
      </c>
      <c r="B23" s="14" t="s">
        <v>20</v>
      </c>
      <c r="C23" s="14" t="s">
        <v>30</v>
      </c>
      <c r="D23" s="7">
        <v>11</v>
      </c>
      <c r="E23" s="7">
        <v>1000</v>
      </c>
      <c r="F23" s="7">
        <v>33</v>
      </c>
      <c r="G23" s="14" t="s">
        <v>234</v>
      </c>
    </row>
    <row r="24" spans="1:7" ht="15" customHeight="1">
      <c r="A24" s="10" t="s">
        <v>240</v>
      </c>
      <c r="B24" s="17" t="s">
        <v>20</v>
      </c>
      <c r="C24" s="17" t="s">
        <v>31</v>
      </c>
      <c r="D24" s="10">
        <v>6</v>
      </c>
      <c r="E24" s="10">
        <v>1300</v>
      </c>
      <c r="F24" s="10">
        <v>38</v>
      </c>
      <c r="G24" s="17" t="s">
        <v>239</v>
      </c>
    </row>
    <row r="26" spans="1:7">
      <c r="A26" s="121" t="s">
        <v>241</v>
      </c>
      <c r="B26" s="121"/>
      <c r="C26" s="121"/>
    </row>
    <row r="27" spans="1:7" ht="26.4">
      <c r="A27" s="6" t="s">
        <v>55</v>
      </c>
      <c r="B27" s="6" t="s">
        <v>56</v>
      </c>
      <c r="C27" s="6" t="s">
        <v>57</v>
      </c>
    </row>
    <row r="28" spans="1:7" ht="15" customHeight="1">
      <c r="A28" s="14" t="s">
        <v>58</v>
      </c>
      <c r="B28" s="7">
        <v>11005</v>
      </c>
      <c r="C28" s="13">
        <f>B28/SUM(B28:B30)</f>
        <v>0.70826361179044928</v>
      </c>
    </row>
    <row r="29" spans="1:7" ht="15" customHeight="1">
      <c r="A29" s="17" t="s">
        <v>60</v>
      </c>
      <c r="B29" s="10">
        <v>1977</v>
      </c>
      <c r="C29" s="11">
        <f>B29/SUM(B28:B30)</f>
        <v>0.12723645256789806</v>
      </c>
    </row>
    <row r="30" spans="1:7">
      <c r="A30" s="14" t="s">
        <v>62</v>
      </c>
      <c r="B30" s="7">
        <v>2556</v>
      </c>
      <c r="C30" s="13">
        <f>B30/SUM(B28:B30)</f>
        <v>0.16449993564165272</v>
      </c>
    </row>
    <row r="31" spans="1:7" ht="23.25" customHeight="1"/>
    <row r="32" spans="1:7" ht="15" customHeight="1"/>
    <row r="33" spans="1:3" ht="15" customHeight="1">
      <c r="A33" s="4" t="s">
        <v>242</v>
      </c>
      <c r="B33" s="4"/>
      <c r="C33" s="4"/>
    </row>
    <row r="34" spans="1:3" ht="15" customHeight="1">
      <c r="A34" s="6" t="s">
        <v>36</v>
      </c>
      <c r="B34" s="6" t="s">
        <v>2</v>
      </c>
      <c r="C34" s="6" t="s">
        <v>37</v>
      </c>
    </row>
    <row r="35" spans="1:3" ht="15" customHeight="1">
      <c r="A35" s="35" t="str">
        <f>'1_Raw_Data'!A26</f>
        <v>January</v>
      </c>
      <c r="B35" s="60">
        <f>'1_Raw_Data'!B26</f>
        <v>38.6</v>
      </c>
      <c r="C35" s="60">
        <f>'1_Raw_Data'!C26</f>
        <v>38.6</v>
      </c>
    </row>
    <row r="36" spans="1:3" ht="15" customHeight="1">
      <c r="A36" s="37" t="str">
        <f>'1_Raw_Data'!A27</f>
        <v>February</v>
      </c>
      <c r="B36" s="61">
        <f>'1_Raw_Data'!B27</f>
        <v>36.4</v>
      </c>
      <c r="C36" s="61">
        <f>'1_Raw_Data'!C27</f>
        <v>75</v>
      </c>
    </row>
    <row r="37" spans="1:3" ht="15" customHeight="1">
      <c r="A37" s="35" t="str">
        <f>'1_Raw_Data'!A28</f>
        <v>March</v>
      </c>
      <c r="B37" s="60">
        <f>'1_Raw_Data'!B28</f>
        <v>40.1</v>
      </c>
      <c r="C37" s="60">
        <f>'1_Raw_Data'!C28</f>
        <v>115.1</v>
      </c>
    </row>
    <row r="38" spans="1:3" ht="15" customHeight="1">
      <c r="A38" s="37" t="str">
        <f>'1_Raw_Data'!A29</f>
        <v>April</v>
      </c>
      <c r="B38" s="61">
        <f>'1_Raw_Data'!B29</f>
        <v>35.9</v>
      </c>
      <c r="C38" s="61">
        <f>'1_Raw_Data'!C29</f>
        <v>151</v>
      </c>
    </row>
    <row r="39" spans="1:3" ht="15" customHeight="1">
      <c r="A39" s="35" t="str">
        <f>'1_Raw_Data'!A30</f>
        <v>May</v>
      </c>
      <c r="B39" s="60">
        <f>'1_Raw_Data'!B30</f>
        <v>41.8</v>
      </c>
      <c r="C39" s="60">
        <f>'1_Raw_Data'!C30</f>
        <v>192.8</v>
      </c>
    </row>
    <row r="40" spans="1:3" ht="15" customHeight="1">
      <c r="A40" s="37" t="str">
        <f>'1_Raw_Data'!A31</f>
        <v>June</v>
      </c>
      <c r="B40" s="61">
        <f>'1_Raw_Data'!B31</f>
        <v>39.700000000000003</v>
      </c>
      <c r="C40" s="61">
        <f>'1_Raw_Data'!C31</f>
        <v>232.5</v>
      </c>
    </row>
    <row r="41" spans="1:3" ht="15" customHeight="1">
      <c r="A41" s="35" t="str">
        <f>'1_Raw_Data'!A32</f>
        <v>July</v>
      </c>
      <c r="B41" s="60">
        <f>'1_Raw_Data'!B32</f>
        <v>37.5</v>
      </c>
      <c r="C41" s="60">
        <f>'1_Raw_Data'!C32</f>
        <v>270</v>
      </c>
    </row>
    <row r="42" spans="1:3" ht="15" customHeight="1">
      <c r="A42" s="37" t="str">
        <f>'1_Raw_Data'!A33</f>
        <v>August</v>
      </c>
      <c r="B42" s="61">
        <f>'1_Raw_Data'!B33</f>
        <v>42.2</v>
      </c>
      <c r="C42" s="61">
        <f>'1_Raw_Data'!C33</f>
        <v>312.2</v>
      </c>
    </row>
    <row r="43" spans="1:3" ht="15" customHeight="1">
      <c r="A43" s="35" t="str">
        <f>'1_Raw_Data'!A34</f>
        <v>September</v>
      </c>
      <c r="B43" s="60">
        <f>'1_Raw_Data'!B34</f>
        <v>39.4</v>
      </c>
      <c r="C43" s="60">
        <f>'1_Raw_Data'!C34</f>
        <v>351.59999999999997</v>
      </c>
    </row>
    <row r="44" spans="1:3" ht="15" customHeight="1">
      <c r="A44" s="37" t="str">
        <f>'1_Raw_Data'!A35</f>
        <v>October</v>
      </c>
      <c r="B44" s="61">
        <f>'1_Raw_Data'!B35</f>
        <v>41</v>
      </c>
      <c r="C44" s="61">
        <f>'1_Raw_Data'!C35</f>
        <v>392.59999999999997</v>
      </c>
    </row>
    <row r="45" spans="1:3">
      <c r="A45" s="35" t="str">
        <f>'1_Raw_Data'!A36</f>
        <v>November</v>
      </c>
      <c r="B45" s="60">
        <f>'1_Raw_Data'!B36</f>
        <v>40.5</v>
      </c>
      <c r="C45" s="60">
        <f>'1_Raw_Data'!C36</f>
        <v>433.09999999999997</v>
      </c>
    </row>
    <row r="46" spans="1:3">
      <c r="A46" s="37" t="str">
        <f>'1_Raw_Data'!A37</f>
        <v>December</v>
      </c>
      <c r="B46" s="61">
        <f>'1_Raw_Data'!B37</f>
        <v>41.9</v>
      </c>
      <c r="C46" s="61">
        <f>'1_Raw_Data'!C37</f>
        <v>474.99999999999994</v>
      </c>
    </row>
  </sheetData>
  <mergeCells count="4">
    <mergeCell ref="A1:G1"/>
    <mergeCell ref="A2:G2"/>
    <mergeCell ref="A26:C26"/>
    <mergeCell ref="A33:C3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AB59-ACCE-4454-9154-0AC6DCB8949B}">
  <dimension ref="A1:E18"/>
  <sheetViews>
    <sheetView workbookViewId="0">
      <selection activeCell="D25" sqref="D25"/>
    </sheetView>
  </sheetViews>
  <sheetFormatPr defaultRowHeight="14.4"/>
  <cols>
    <col min="1" max="1" width="16" bestFit="1" customWidth="1"/>
    <col min="2" max="2" width="31.33203125" bestFit="1" customWidth="1"/>
    <col min="4" max="4" width="14.21875" bestFit="1" customWidth="1"/>
    <col min="5" max="5" width="24.109375" bestFit="1" customWidth="1"/>
  </cols>
  <sheetData>
    <row r="1" spans="1:5">
      <c r="A1" s="109" t="s">
        <v>299</v>
      </c>
      <c r="B1" s="109"/>
      <c r="C1" s="109"/>
      <c r="D1" s="109"/>
      <c r="E1" s="109"/>
    </row>
    <row r="3" spans="1:5">
      <c r="A3" s="106" t="s">
        <v>278</v>
      </c>
      <c r="B3" s="106"/>
      <c r="D3" s="106" t="s">
        <v>279</v>
      </c>
      <c r="E3" s="106"/>
    </row>
    <row r="4" spans="1:5">
      <c r="A4" s="104" t="s">
        <v>283</v>
      </c>
      <c r="B4" s="115">
        <f>AVERAGE('1_Raw_Data'!B26:B37)</f>
        <v>39.583333333333329</v>
      </c>
      <c r="D4" s="105" t="s">
        <v>286</v>
      </c>
      <c r="E4" s="104">
        <f>'3_ANOVA'!B40</f>
        <v>32.484654958311168</v>
      </c>
    </row>
    <row r="5" spans="1:5">
      <c r="A5" s="104" t="s">
        <v>173</v>
      </c>
      <c r="B5" s="116">
        <f>STDEV('1_Raw_Data'!B26:B37)</f>
        <v>2.1169589394967381</v>
      </c>
      <c r="D5" s="105" t="s">
        <v>287</v>
      </c>
      <c r="E5" s="104">
        <f>'3_ANOVA'!E40</f>
        <v>7.8899999999999993E-5</v>
      </c>
    </row>
    <row r="6" spans="1:5">
      <c r="A6" s="104" t="s">
        <v>284</v>
      </c>
      <c r="B6" s="116">
        <v>1.61</v>
      </c>
      <c r="D6" s="105" t="s">
        <v>288</v>
      </c>
      <c r="E6" s="104" t="str">
        <f>IF('3_ANOVA'!E40&lt;0.05,"REJECT H0","FAIL TO REJECT H0")</f>
        <v>REJECT H0</v>
      </c>
    </row>
    <row r="7" spans="1:5">
      <c r="A7" s="104" t="s">
        <v>285</v>
      </c>
      <c r="B7" s="116">
        <v>5.33E-2</v>
      </c>
    </row>
    <row r="8" spans="1:5">
      <c r="A8" s="117"/>
      <c r="B8" s="117"/>
    </row>
    <row r="9" spans="1:5">
      <c r="A9" s="107" t="s">
        <v>280</v>
      </c>
      <c r="B9" s="108"/>
      <c r="D9" s="111" t="s">
        <v>281</v>
      </c>
      <c r="E9" s="111"/>
    </row>
    <row r="10" spans="1:5">
      <c r="A10" s="104" t="s">
        <v>289</v>
      </c>
      <c r="B10" s="104">
        <v>21.38</v>
      </c>
      <c r="D10" s="112" t="s">
        <v>290</v>
      </c>
      <c r="E10" s="113">
        <f>'6_Forecasting'!D8</f>
        <v>514</v>
      </c>
    </row>
    <row r="11" spans="1:5">
      <c r="A11" s="104" t="s">
        <v>266</v>
      </c>
      <c r="B11" s="104" t="s">
        <v>302</v>
      </c>
      <c r="D11" s="112" t="s">
        <v>291</v>
      </c>
      <c r="E11" s="113">
        <f>'6_Forecasting'!D9</f>
        <v>569.5</v>
      </c>
    </row>
    <row r="12" spans="1:5">
      <c r="A12" s="104" t="s">
        <v>165</v>
      </c>
      <c r="B12" s="104" t="str">
        <f>IF('4_Chi_Square'!B26&gt;3.841,"REJECT H0  Significant association","FAIL TO REJECT H0")</f>
        <v>REJECT H0  Significant association</v>
      </c>
      <c r="D12" s="112" t="s">
        <v>292</v>
      </c>
      <c r="E12" s="114">
        <f>'6_Forecasting'!C25</f>
        <v>41.765151515151516</v>
      </c>
    </row>
    <row r="13" spans="1:5">
      <c r="D13" s="112" t="s">
        <v>293</v>
      </c>
      <c r="E13" s="114">
        <f>'6_Forecasting'!C26</f>
        <v>42.100815850815849</v>
      </c>
    </row>
    <row r="14" spans="1:5">
      <c r="A14" s="107" t="s">
        <v>282</v>
      </c>
      <c r="B14" s="108"/>
      <c r="D14" s="112" t="s">
        <v>294</v>
      </c>
      <c r="E14" s="114">
        <f>'6_Forecasting'!C27</f>
        <v>42.436480186480182</v>
      </c>
    </row>
    <row r="15" spans="1:5">
      <c r="A15" s="104" t="s">
        <v>295</v>
      </c>
      <c r="B15" s="104">
        <v>39.58</v>
      </c>
    </row>
    <row r="16" spans="1:5">
      <c r="A16" s="104" t="s">
        <v>296</v>
      </c>
      <c r="B16" s="104">
        <v>2.12</v>
      </c>
    </row>
    <row r="17" spans="1:2">
      <c r="A17" s="104" t="s">
        <v>297</v>
      </c>
      <c r="B17" s="104" t="s">
        <v>300</v>
      </c>
    </row>
    <row r="18" spans="1:2">
      <c r="A18" s="104" t="s">
        <v>298</v>
      </c>
      <c r="B18" s="104" t="s">
        <v>301</v>
      </c>
    </row>
  </sheetData>
  <mergeCells count="6">
    <mergeCell ref="A3:B3"/>
    <mergeCell ref="D3:E3"/>
    <mergeCell ref="D9:E9"/>
    <mergeCell ref="A9:B9"/>
    <mergeCell ref="A14:B14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1_Raw_Data</vt:lpstr>
      <vt:lpstr>2_Descriptive_Stats</vt:lpstr>
      <vt:lpstr>3_ANOVA</vt:lpstr>
      <vt:lpstr>4_Chi_Square</vt:lpstr>
      <vt:lpstr>5_Normal_Distribution</vt:lpstr>
      <vt:lpstr>6_Forecasting</vt:lpstr>
      <vt:lpstr>7_BI_Dataset</vt:lpstr>
      <vt:lpstr>8.  Final Output Summary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Rahil Mulani</cp:lastModifiedBy>
  <cp:revision>0</cp:revision>
  <dcterms:created xsi:type="dcterms:W3CDTF">2026-03-13T12:18:12Z</dcterms:created>
  <dcterms:modified xsi:type="dcterms:W3CDTF">2026-03-15T18:44:41Z</dcterms:modified>
  <dc:language>en-US</dc:language>
</cp:coreProperties>
</file>